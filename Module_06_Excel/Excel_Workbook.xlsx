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ata Science\Classroom\Module_4\"/>
    </mc:Choice>
  </mc:AlternateContent>
  <xr:revisionPtr revIDLastSave="0" documentId="13_ncr:1_{3CE2462F-8164-43A8-8E0D-0943E95D9EF5}" xr6:coauthVersionLast="47" xr6:coauthVersionMax="47" xr10:uidLastSave="{00000000-0000-0000-0000-000000000000}"/>
  <bookViews>
    <workbookView xWindow="-120" yWindow="-120" windowWidth="29040" windowHeight="15720" firstSheet="16" activeTab="26" xr2:uid="{36CA57A4-0096-4BF2-9A6E-27F5689A45E2}"/>
  </bookViews>
  <sheets>
    <sheet name="Project 1" sheetId="1" r:id="rId1"/>
    <sheet name="Sheet1" sheetId="29" r:id="rId2"/>
    <sheet name="Filter &amp; Sorting" sheetId="2" r:id="rId3"/>
    <sheet name="Conditional Formatting" sheetId="3" r:id="rId4"/>
    <sheet name="Insert &amp; Delete Columns or Rows" sheetId="4" r:id="rId5"/>
    <sheet name="Find &amp; Remove Duplicates" sheetId="5" r:id="rId6"/>
    <sheet name="Merge &amp; Centre" sheetId="6" r:id="rId7"/>
    <sheet name="Rounding of Numbers" sheetId="7" r:id="rId8"/>
    <sheet name="Autofill in Excel" sheetId="8" r:id="rId9"/>
    <sheet name="Add or Edit Comment" sheetId="9" r:id="rId10"/>
    <sheet name="Filters" sheetId="10" r:id="rId11"/>
    <sheet name="Insert Table &amp; Slicers" sheetId="11" r:id="rId12"/>
    <sheet name="Add Link and Hyperlink" sheetId="12" r:id="rId13"/>
    <sheet name="Add Drop Down List" sheetId="13" r:id="rId14"/>
    <sheet name="Split Text" sheetId="15" r:id="rId15"/>
    <sheet name="Chart In Excel" sheetId="16" r:id="rId16"/>
    <sheet name="IfandElse" sheetId="30" r:id="rId17"/>
    <sheet name="IfError" sheetId="20" r:id="rId18"/>
    <sheet name="Vlookup" sheetId="17" r:id="rId19"/>
    <sheet name="Pivot Table" sheetId="18" r:id="rId20"/>
    <sheet name="PTable" sheetId="19" r:id="rId21"/>
    <sheet name="Sheet2" sheetId="31" r:id="rId22"/>
    <sheet name="Match" sheetId="21" r:id="rId23"/>
    <sheet name="SumProduct" sheetId="22" r:id="rId24"/>
    <sheet name="Rank" sheetId="23" r:id="rId25"/>
    <sheet name="Days and NetWorkingDays" sheetId="24" r:id="rId26"/>
    <sheet name="Count" sheetId="25" r:id="rId27"/>
    <sheet name="XLookup" sheetId="27" r:id="rId28"/>
    <sheet name="Hlookup" sheetId="28" r:id="rId29"/>
    <sheet name="P_Table_2" sheetId="34" r:id="rId30"/>
  </sheets>
  <definedNames>
    <definedName name="_xlnm._FilterDatabase" localSheetId="2" hidden="1">'Filter &amp; Sorting'!$A$1:$J$6</definedName>
    <definedName name="_xlnm._FilterDatabase" localSheetId="10" hidden="1">Filters!$A$4:$I$19</definedName>
    <definedName name="Slicer_Gender">#N/A</definedName>
    <definedName name="Slicer_House">#N/A</definedName>
  </definedNames>
  <calcPr calcId="191029"/>
  <pivotCaches>
    <pivotCache cacheId="0" r:id="rId3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2"/>
        <x14:slicerCache r:id="rId3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25" l="1"/>
  <c r="N9" i="25"/>
  <c r="M9" i="25"/>
  <c r="O4" i="25"/>
  <c r="L9" i="25"/>
  <c r="C3" i="23"/>
  <c r="C4" i="23"/>
  <c r="C5" i="23"/>
  <c r="C6" i="23"/>
  <c r="C7" i="23"/>
  <c r="C8" i="23"/>
  <c r="C9" i="23"/>
  <c r="C10" i="23"/>
  <c r="C11" i="23"/>
  <c r="C12" i="23"/>
  <c r="C13" i="23"/>
  <c r="C14" i="23"/>
  <c r="C15" i="23"/>
  <c r="C16" i="23"/>
  <c r="C2" i="23"/>
  <c r="L19" i="25"/>
  <c r="F3" i="24"/>
  <c r="E4" i="24"/>
  <c r="L2" i="30"/>
  <c r="M2" i="30"/>
  <c r="N2" i="30"/>
  <c r="N3" i="30"/>
  <c r="N4" i="30"/>
  <c r="N5" i="30"/>
  <c r="N6" i="30"/>
  <c r="N7" i="30"/>
  <c r="N8" i="30"/>
  <c r="N9" i="30"/>
  <c r="N10" i="30"/>
  <c r="N11" i="30"/>
  <c r="N12" i="30"/>
  <c r="N13" i="30"/>
  <c r="N14" i="30"/>
  <c r="N15" i="30"/>
  <c r="N16" i="30"/>
  <c r="N17" i="30"/>
  <c r="N18" i="30"/>
  <c r="N19" i="30"/>
  <c r="N20" i="30"/>
  <c r="N21" i="30"/>
  <c r="N22" i="30"/>
  <c r="N23" i="30"/>
  <c r="N24" i="30"/>
  <c r="N25" i="30"/>
  <c r="N26" i="30"/>
  <c r="M3" i="30"/>
  <c r="M4" i="30"/>
  <c r="M5" i="30"/>
  <c r="M6" i="30"/>
  <c r="M7" i="30"/>
  <c r="M8" i="30"/>
  <c r="M9" i="30"/>
  <c r="M10" i="30"/>
  <c r="M11" i="30"/>
  <c r="M12" i="30"/>
  <c r="M13" i="30"/>
  <c r="M14" i="30"/>
  <c r="M15" i="30"/>
  <c r="M16" i="30"/>
  <c r="M17" i="30"/>
  <c r="M18" i="30"/>
  <c r="M19" i="30"/>
  <c r="M20" i="30"/>
  <c r="M21" i="30"/>
  <c r="M22" i="30"/>
  <c r="M23" i="30"/>
  <c r="M24" i="30"/>
  <c r="M25" i="30"/>
  <c r="M26" i="30"/>
  <c r="L3" i="30"/>
  <c r="L4" i="30"/>
  <c r="L5" i="30"/>
  <c r="L6" i="30"/>
  <c r="L7" i="30"/>
  <c r="L8" i="30"/>
  <c r="L9" i="30"/>
  <c r="L10" i="30"/>
  <c r="L11" i="30"/>
  <c r="L12" i="30"/>
  <c r="L13" i="30"/>
  <c r="L14" i="30"/>
  <c r="L15" i="30"/>
  <c r="L16" i="30"/>
  <c r="L17" i="30"/>
  <c r="L18" i="30"/>
  <c r="L19" i="30"/>
  <c r="L20" i="30"/>
  <c r="L21" i="30"/>
  <c r="L22" i="30"/>
  <c r="L23" i="30"/>
  <c r="L24" i="30"/>
  <c r="L25" i="30"/>
  <c r="L26" i="30"/>
  <c r="K3" i="30"/>
  <c r="K4" i="30"/>
  <c r="K5" i="30"/>
  <c r="K6" i="30"/>
  <c r="K7" i="30"/>
  <c r="K8" i="30"/>
  <c r="K9" i="30"/>
  <c r="K10" i="30"/>
  <c r="K11" i="30"/>
  <c r="K12" i="30"/>
  <c r="K13" i="30"/>
  <c r="K14" i="30"/>
  <c r="K15" i="30"/>
  <c r="K16" i="30"/>
  <c r="K17" i="30"/>
  <c r="K18" i="30"/>
  <c r="K19" i="30"/>
  <c r="K20" i="30"/>
  <c r="K21" i="30"/>
  <c r="K22" i="30"/>
  <c r="K23" i="30"/>
  <c r="K24" i="30"/>
  <c r="K25" i="30"/>
  <c r="K26" i="30"/>
  <c r="K2" i="30"/>
  <c r="J3" i="30"/>
  <c r="J4" i="30"/>
  <c r="J5" i="30"/>
  <c r="J6" i="30"/>
  <c r="J7" i="30"/>
  <c r="J8" i="30"/>
  <c r="J9" i="30"/>
  <c r="J10" i="30"/>
  <c r="J11" i="30"/>
  <c r="J12" i="30"/>
  <c r="J13" i="30"/>
  <c r="J14" i="30"/>
  <c r="J15" i="30"/>
  <c r="J16" i="30"/>
  <c r="J17" i="30"/>
  <c r="J18" i="30"/>
  <c r="J19" i="30"/>
  <c r="J20" i="30"/>
  <c r="J21" i="30"/>
  <c r="J22" i="30"/>
  <c r="J23" i="30"/>
  <c r="J24" i="30"/>
  <c r="J25" i="30"/>
  <c r="J26" i="30"/>
  <c r="J2" i="30"/>
  <c r="I3" i="30"/>
  <c r="I4" i="30"/>
  <c r="I5" i="30"/>
  <c r="I6" i="30"/>
  <c r="I7" i="30"/>
  <c r="I8" i="30"/>
  <c r="I9" i="30"/>
  <c r="I10" i="30"/>
  <c r="I11" i="30"/>
  <c r="I12" i="30"/>
  <c r="I13" i="30"/>
  <c r="I14" i="30"/>
  <c r="I15" i="30"/>
  <c r="I16" i="30"/>
  <c r="I17" i="30"/>
  <c r="I18" i="30"/>
  <c r="I19" i="30"/>
  <c r="I20" i="30"/>
  <c r="I21" i="30"/>
  <c r="I22" i="30"/>
  <c r="I23" i="30"/>
  <c r="I24" i="30"/>
  <c r="I25" i="30"/>
  <c r="I26" i="30"/>
  <c r="I2" i="30"/>
  <c r="H3" i="30"/>
  <c r="H4" i="30"/>
  <c r="H5" i="30"/>
  <c r="H6" i="30"/>
  <c r="H7" i="30"/>
  <c r="H8" i="30"/>
  <c r="H9" i="30"/>
  <c r="H10" i="30"/>
  <c r="H11" i="30"/>
  <c r="H12" i="30"/>
  <c r="H13" i="30"/>
  <c r="H14" i="30"/>
  <c r="H15" i="30"/>
  <c r="H16" i="30"/>
  <c r="H17" i="30"/>
  <c r="H18" i="30"/>
  <c r="H19" i="30"/>
  <c r="H20" i="30"/>
  <c r="H21" i="30"/>
  <c r="H22" i="30"/>
  <c r="H23" i="30"/>
  <c r="H24" i="30"/>
  <c r="H25" i="30"/>
  <c r="H26" i="30"/>
  <c r="H2" i="30"/>
  <c r="O6" i="17"/>
  <c r="P7" i="17"/>
  <c r="P8" i="17"/>
  <c r="P9" i="17"/>
  <c r="P10" i="17"/>
  <c r="P6" i="17"/>
  <c r="E6" i="29"/>
  <c r="D6" i="29"/>
  <c r="C6" i="29"/>
  <c r="E5" i="29"/>
  <c r="D5" i="29"/>
  <c r="C5" i="29"/>
  <c r="E4" i="29"/>
  <c r="D4" i="29"/>
  <c r="C4" i="29"/>
  <c r="E3" i="29"/>
  <c r="D3" i="29"/>
  <c r="C3" i="29"/>
  <c r="E2" i="29"/>
  <c r="D2" i="29"/>
  <c r="C2" i="29"/>
  <c r="B3" i="7"/>
  <c r="J7" i="5"/>
  <c r="I7" i="5"/>
  <c r="H7" i="5"/>
  <c r="F6" i="24"/>
  <c r="G12" i="28"/>
  <c r="G11" i="28"/>
  <c r="I9" i="27"/>
  <c r="N17" i="25"/>
  <c r="M17" i="25"/>
  <c r="L17" i="25"/>
  <c r="F5" i="24"/>
  <c r="F4" i="24"/>
  <c r="D4" i="24"/>
  <c r="I5" i="27" a="1"/>
  <c r="I5" i="27" s="1"/>
  <c r="E3" i="24"/>
  <c r="D3" i="24"/>
  <c r="E2" i="22"/>
  <c r="R5" i="21"/>
  <c r="F4" i="20"/>
  <c r="F5" i="20"/>
  <c r="F6" i="20"/>
  <c r="F7" i="20"/>
  <c r="F3" i="20"/>
  <c r="E4" i="20"/>
  <c r="E5" i="20"/>
  <c r="E6" i="20"/>
  <c r="E7" i="20"/>
  <c r="E3" i="20"/>
  <c r="D4" i="20"/>
  <c r="D5" i="20"/>
  <c r="D6" i="20"/>
  <c r="D7" i="20"/>
  <c r="D3" i="20"/>
  <c r="O7" i="17"/>
  <c r="O8" i="17"/>
  <c r="O9" i="17"/>
  <c r="O10" i="17"/>
  <c r="D4" i="7"/>
  <c r="D5" i="7"/>
  <c r="D6" i="7"/>
  <c r="D7" i="7"/>
  <c r="D8" i="7"/>
  <c r="D3" i="7"/>
  <c r="C4" i="7"/>
  <c r="C5" i="7"/>
  <c r="C6" i="7"/>
  <c r="C7" i="7"/>
  <c r="C8" i="7"/>
  <c r="C3" i="7"/>
  <c r="B8" i="7"/>
  <c r="B4" i="7"/>
  <c r="B5" i="7"/>
  <c r="B6" i="7"/>
  <c r="B7" i="7"/>
  <c r="J11" i="6"/>
  <c r="I11" i="6"/>
  <c r="H11" i="6"/>
  <c r="J10" i="6"/>
  <c r="I10" i="6"/>
  <c r="H10" i="6"/>
  <c r="J9" i="6"/>
  <c r="I9" i="6"/>
  <c r="H9" i="6"/>
  <c r="J8" i="6"/>
  <c r="I8" i="6"/>
  <c r="H8" i="6"/>
  <c r="J7" i="6"/>
  <c r="I7" i="6"/>
  <c r="H7" i="6"/>
  <c r="J6" i="6"/>
  <c r="I6" i="6"/>
  <c r="H6" i="6"/>
  <c r="J6" i="5"/>
  <c r="I6" i="5"/>
  <c r="H6" i="5"/>
  <c r="J5" i="5"/>
  <c r="I5" i="5"/>
  <c r="H5" i="5"/>
  <c r="J4" i="5"/>
  <c r="I4" i="5"/>
  <c r="H4" i="5"/>
  <c r="J3" i="5"/>
  <c r="I3" i="5"/>
  <c r="H3" i="5"/>
  <c r="J2" i="5"/>
  <c r="I2" i="5"/>
  <c r="H2" i="5"/>
  <c r="J6" i="4"/>
  <c r="I6" i="4"/>
  <c r="H6" i="4"/>
  <c r="J5" i="4"/>
  <c r="I5" i="4"/>
  <c r="H5" i="4"/>
  <c r="J4" i="4"/>
  <c r="I4" i="4"/>
  <c r="H4" i="4"/>
  <c r="J3" i="4"/>
  <c r="I3" i="4"/>
  <c r="H3" i="4"/>
  <c r="J2" i="4"/>
  <c r="I2" i="4"/>
  <c r="H2" i="4"/>
  <c r="J6" i="3"/>
  <c r="I6" i="3"/>
  <c r="H6" i="3"/>
  <c r="J5" i="3"/>
  <c r="I5" i="3"/>
  <c r="H5" i="3"/>
  <c r="J4" i="3"/>
  <c r="I4" i="3"/>
  <c r="H4" i="3"/>
  <c r="J3" i="3"/>
  <c r="I3" i="3"/>
  <c r="H3" i="3"/>
  <c r="J2" i="3"/>
  <c r="I2" i="3"/>
  <c r="H2" i="3"/>
  <c r="J4" i="2"/>
  <c r="I4" i="2"/>
  <c r="H4" i="2"/>
  <c r="J2" i="2"/>
  <c r="I2" i="2"/>
  <c r="H2" i="2"/>
  <c r="J6" i="2"/>
  <c r="I6" i="2"/>
  <c r="H6" i="2"/>
  <c r="J3" i="2"/>
  <c r="I3" i="2"/>
  <c r="H3" i="2"/>
  <c r="J5" i="2"/>
  <c r="I5" i="2"/>
  <c r="H5" i="2"/>
  <c r="H3" i="1"/>
  <c r="H4" i="1"/>
  <c r="H5" i="1"/>
  <c r="H6" i="1"/>
  <c r="H2" i="1"/>
  <c r="J3" i="1"/>
  <c r="J4" i="1"/>
  <c r="J5" i="1"/>
  <c r="J6" i="1"/>
  <c r="J2" i="1"/>
  <c r="I3" i="1"/>
  <c r="I4" i="1"/>
  <c r="I5" i="1"/>
  <c r="I6" i="1"/>
  <c r="I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<sst xmlns="http://schemas.openxmlformats.org/spreadsheetml/2006/main" count="1433" uniqueCount="364">
  <si>
    <t>S No</t>
  </si>
  <si>
    <t>Last Name</t>
  </si>
  <si>
    <t>DOJ</t>
  </si>
  <si>
    <t>Sal-Jan</t>
  </si>
  <si>
    <t>Sal-Feb</t>
  </si>
  <si>
    <t>Sal-Mar</t>
  </si>
  <si>
    <t>Sal Total</t>
  </si>
  <si>
    <t>Full Name</t>
  </si>
  <si>
    <t>First Name</t>
  </si>
  <si>
    <t>Ankit</t>
  </si>
  <si>
    <t>Sharma</t>
  </si>
  <si>
    <t>Priya</t>
  </si>
  <si>
    <t>Verma</t>
  </si>
  <si>
    <t>Meera</t>
  </si>
  <si>
    <t>Iyer</t>
  </si>
  <si>
    <t>Rohan</t>
  </si>
  <si>
    <t>Gupta</t>
  </si>
  <si>
    <t>Kavya</t>
  </si>
  <si>
    <t>Desai</t>
  </si>
  <si>
    <t>Avg Sal</t>
  </si>
  <si>
    <t xml:space="preserve">Select All Table </t>
  </si>
  <si>
    <t>1. Data --&gt; Filter</t>
  </si>
  <si>
    <t>2. Sort Manually</t>
  </si>
  <si>
    <t>3. Sort Using Function</t>
  </si>
  <si>
    <t xml:space="preserve">Home </t>
  </si>
  <si>
    <t>Condinational Formatting</t>
  </si>
  <si>
    <t>Color Scales</t>
  </si>
  <si>
    <t>Add Columns</t>
  </si>
  <si>
    <t>Right Click on any column --&gt; Select Insert</t>
  </si>
  <si>
    <t>Add Rows</t>
  </si>
  <si>
    <t>Right Click on any Rows --&gt; Select Insert</t>
  </si>
  <si>
    <t>Delete --&gt; Ctrl + "-"</t>
  </si>
  <si>
    <t>Home</t>
  </si>
  <si>
    <t>Conditional Formatting</t>
  </si>
  <si>
    <t>Highlight Cell Rules --&gt; Duplicate Values</t>
  </si>
  <si>
    <t>How to Remove Duplicates</t>
  </si>
  <si>
    <t>Select Table --&gt; Data --&gt; Remove Duplicates</t>
  </si>
  <si>
    <t>Employee Salary Description</t>
  </si>
  <si>
    <t xml:space="preserve">Numbers </t>
  </si>
  <si>
    <t>Round</t>
  </si>
  <si>
    <t>Round Up</t>
  </si>
  <si>
    <t>Round Down</t>
  </si>
  <si>
    <t>Using Formula</t>
  </si>
  <si>
    <t>January</t>
  </si>
  <si>
    <t>February</t>
  </si>
  <si>
    <t>March</t>
  </si>
  <si>
    <t>April</t>
  </si>
  <si>
    <t>May</t>
  </si>
  <si>
    <t>June</t>
  </si>
  <si>
    <t>July</t>
  </si>
  <si>
    <t>August</t>
  </si>
  <si>
    <t>September</t>
  </si>
  <si>
    <t>October</t>
  </si>
  <si>
    <t>November</t>
  </si>
  <si>
    <t>December</t>
  </si>
  <si>
    <t>Monday</t>
  </si>
  <si>
    <t>Tuesday</t>
  </si>
  <si>
    <t>Wednesday</t>
  </si>
  <si>
    <t>Thursday</t>
  </si>
  <si>
    <t>Friday</t>
  </si>
  <si>
    <t>Saturday</t>
  </si>
  <si>
    <t>Sunday</t>
  </si>
  <si>
    <t>Jan</t>
  </si>
  <si>
    <t>Feb</t>
  </si>
  <si>
    <t>Mar</t>
  </si>
  <si>
    <t>Apr</t>
  </si>
  <si>
    <t>Jun</t>
  </si>
  <si>
    <t>Jul</t>
  </si>
  <si>
    <t>Aug</t>
  </si>
  <si>
    <t>Sep</t>
  </si>
  <si>
    <t>Oct</t>
  </si>
  <si>
    <t>Nov</t>
  </si>
  <si>
    <t>Dec</t>
  </si>
  <si>
    <t>Mon</t>
  </si>
  <si>
    <t>Tue</t>
  </si>
  <si>
    <t>Wed</t>
  </si>
  <si>
    <t>Thu</t>
  </si>
  <si>
    <t>Fri</t>
  </si>
  <si>
    <t>Sat</t>
  </si>
  <si>
    <t>Sun</t>
  </si>
  <si>
    <t>Name</t>
  </si>
  <si>
    <t>Gender</t>
  </si>
  <si>
    <t>Age</t>
  </si>
  <si>
    <t>Class</t>
  </si>
  <si>
    <t>House</t>
  </si>
  <si>
    <t>Unit Test 1</t>
  </si>
  <si>
    <t>Unit Test 2</t>
  </si>
  <si>
    <t>Final Test</t>
  </si>
  <si>
    <t>Email</t>
  </si>
  <si>
    <t>Aarav</t>
  </si>
  <si>
    <t>Male</t>
  </si>
  <si>
    <t>10A</t>
  </si>
  <si>
    <t>Green</t>
  </si>
  <si>
    <t>aarav.18@school.com</t>
  </si>
  <si>
    <t>Ananya</t>
  </si>
  <si>
    <t>Female</t>
  </si>
  <si>
    <t>10C</t>
  </si>
  <si>
    <t>Yellow</t>
  </si>
  <si>
    <t>ananya.21@education.org</t>
  </si>
  <si>
    <t>Vihaan</t>
  </si>
  <si>
    <t>11B</t>
  </si>
  <si>
    <t>Blue</t>
  </si>
  <si>
    <t>vihaan.97@school.com</t>
  </si>
  <si>
    <t>Ishita</t>
  </si>
  <si>
    <t>10B</t>
  </si>
  <si>
    <t>ishita.99@education.org</t>
  </si>
  <si>
    <t>Arjun</t>
  </si>
  <si>
    <t>11A</t>
  </si>
  <si>
    <t>arjun.75@education.org</t>
  </si>
  <si>
    <t>Nisha</t>
  </si>
  <si>
    <t>nisha.100@education.org</t>
  </si>
  <si>
    <t>Kabir</t>
  </si>
  <si>
    <t>Red</t>
  </si>
  <si>
    <t>kabir.35@education.org</t>
  </si>
  <si>
    <t>11C</t>
  </si>
  <si>
    <t>priya.62@education.org</t>
  </si>
  <si>
    <t>rohan.64@school.com</t>
  </si>
  <si>
    <t>Sneha</t>
  </si>
  <si>
    <t>sneha.3@school.com</t>
  </si>
  <si>
    <t>Krishna</t>
  </si>
  <si>
    <t>krishna.3@education.org</t>
  </si>
  <si>
    <t>meera.71@school.com</t>
  </si>
  <si>
    <t>Aditya</t>
  </si>
  <si>
    <t>aditya.69@school.com</t>
  </si>
  <si>
    <t>Pooja</t>
  </si>
  <si>
    <t>pooja.89@school.com</t>
  </si>
  <si>
    <t>Varun</t>
  </si>
  <si>
    <t>varun.45@education.org</t>
  </si>
  <si>
    <t>School Data</t>
  </si>
  <si>
    <t>Comment</t>
  </si>
  <si>
    <t>Select Only Male Student</t>
  </si>
  <si>
    <t>Select Only Male Student and House</t>
  </si>
  <si>
    <t>Filter by Search</t>
  </si>
  <si>
    <t>Sorting On Multiple Columns</t>
  </si>
  <si>
    <t>Numbers Filtering --&gt; Between</t>
  </si>
  <si>
    <t>Insert --&gt; Slicers</t>
  </si>
  <si>
    <t>1. Insert --&gt; Table</t>
  </si>
  <si>
    <t>2. Slicers</t>
  </si>
  <si>
    <t>3. Insert Picture and Shape</t>
  </si>
  <si>
    <t xml:space="preserve">Insert Link </t>
  </si>
  <si>
    <t xml:space="preserve">Insert--&gt; Link </t>
  </si>
  <si>
    <t>Ctrl + k</t>
  </si>
  <si>
    <t>Place in The Document</t>
  </si>
  <si>
    <t>Grade</t>
  </si>
  <si>
    <t>A</t>
  </si>
  <si>
    <t>B</t>
  </si>
  <si>
    <t>C</t>
  </si>
  <si>
    <t>Data --&gt; Data Validation</t>
  </si>
  <si>
    <t>Settings --&gt; Allow --&gt; List --&gt; Select the Rows</t>
  </si>
  <si>
    <t>Data --&gt; Text to Columns</t>
  </si>
  <si>
    <t>aarav</t>
  </si>
  <si>
    <t>ananya</t>
  </si>
  <si>
    <t>vihaan</t>
  </si>
  <si>
    <t>ishita</t>
  </si>
  <si>
    <t>arjun</t>
  </si>
  <si>
    <t>nisha</t>
  </si>
  <si>
    <t>kabir</t>
  </si>
  <si>
    <t>priya</t>
  </si>
  <si>
    <t>rohan</t>
  </si>
  <si>
    <t>sneha</t>
  </si>
  <si>
    <t>krishna</t>
  </si>
  <si>
    <t>meera</t>
  </si>
  <si>
    <t>aditya</t>
  </si>
  <si>
    <t>pooja</t>
  </si>
  <si>
    <t>varun</t>
  </si>
  <si>
    <t>Insert Tab --&gt; Recommended Chart</t>
  </si>
  <si>
    <t>Grand Total</t>
  </si>
  <si>
    <t>Sum of Final Test</t>
  </si>
  <si>
    <t>Yellow Total</t>
  </si>
  <si>
    <t>Blue Total</t>
  </si>
  <si>
    <t>Red Total</t>
  </si>
  <si>
    <t>Green Total</t>
  </si>
  <si>
    <t>Column 1</t>
  </si>
  <si>
    <t>Column 2</t>
  </si>
  <si>
    <t>Division</t>
  </si>
  <si>
    <t>D</t>
  </si>
  <si>
    <t>If Error</t>
  </si>
  <si>
    <t>If Error Text</t>
  </si>
  <si>
    <t>Book</t>
  </si>
  <si>
    <t>Price</t>
  </si>
  <si>
    <t>Qty</t>
  </si>
  <si>
    <t>Working Days</t>
  </si>
  <si>
    <t>Day</t>
  </si>
  <si>
    <t>Days</t>
  </si>
  <si>
    <t>Count</t>
  </si>
  <si>
    <t>Counta</t>
  </si>
  <si>
    <t>CountBlank</t>
  </si>
  <si>
    <t>Order ID</t>
  </si>
  <si>
    <t>Product</t>
  </si>
  <si>
    <t>Unit Price</t>
  </si>
  <si>
    <t>Quantity</t>
  </si>
  <si>
    <t>Laptop</t>
  </si>
  <si>
    <t>Smartphone</t>
  </si>
  <si>
    <t>Headphones</t>
  </si>
  <si>
    <t>Keyboard</t>
  </si>
  <si>
    <t>Monitor</t>
  </si>
  <si>
    <t>Mouse</t>
  </si>
  <si>
    <t>Tablet</t>
  </si>
  <si>
    <t>Charger</t>
  </si>
  <si>
    <t>Printer</t>
  </si>
  <si>
    <t>USB Drive</t>
  </si>
  <si>
    <t>Start Date</t>
  </si>
  <si>
    <t>End Date</t>
  </si>
  <si>
    <t>Hoildays</t>
  </si>
  <si>
    <t>Employee Code</t>
  </si>
  <si>
    <t>Region</t>
  </si>
  <si>
    <t>Function</t>
  </si>
  <si>
    <t>Salary</t>
  </si>
  <si>
    <t>NAC001</t>
  </si>
  <si>
    <t>Mehta</t>
  </si>
  <si>
    <t>North</t>
  </si>
  <si>
    <t>Operations</t>
  </si>
  <si>
    <t>NAC002</t>
  </si>
  <si>
    <t>South</t>
  </si>
  <si>
    <t>Finance</t>
  </si>
  <si>
    <t>NAC003</t>
  </si>
  <si>
    <t>Ramesh</t>
  </si>
  <si>
    <t>East</t>
  </si>
  <si>
    <t>HR</t>
  </si>
  <si>
    <t>NAC004</t>
  </si>
  <si>
    <t>Rathi</t>
  </si>
  <si>
    <t>West</t>
  </si>
  <si>
    <t>Sales</t>
  </si>
  <si>
    <t>NAC005</t>
  </si>
  <si>
    <t>Kunal</t>
  </si>
  <si>
    <t>Bansal</t>
  </si>
  <si>
    <t>Dispatch</t>
  </si>
  <si>
    <t>NAC006</t>
  </si>
  <si>
    <t>Joshi</t>
  </si>
  <si>
    <t>NAC007</t>
  </si>
  <si>
    <t>Mohit</t>
  </si>
  <si>
    <t>NAC008</t>
  </si>
  <si>
    <t>Aarti</t>
  </si>
  <si>
    <t>NAC009</t>
  </si>
  <si>
    <t>Rishi</t>
  </si>
  <si>
    <t>Goyal</t>
  </si>
  <si>
    <t>NAC010</t>
  </si>
  <si>
    <t>Isha</t>
  </si>
  <si>
    <t>Kapoor</t>
  </si>
  <si>
    <t>NAC011</t>
  </si>
  <si>
    <t>Deepak</t>
  </si>
  <si>
    <t>Nair</t>
  </si>
  <si>
    <t>NAC012</t>
  </si>
  <si>
    <t>Ritu</t>
  </si>
  <si>
    <t>Menon</t>
  </si>
  <si>
    <t>NAC013</t>
  </si>
  <si>
    <t>Bhatt</t>
  </si>
  <si>
    <t>NAC014</t>
  </si>
  <si>
    <t>Tanya</t>
  </si>
  <si>
    <t>Pillai</t>
  </si>
  <si>
    <t>NAC015</t>
  </si>
  <si>
    <t>Kiran</t>
  </si>
  <si>
    <t>Shetty</t>
  </si>
  <si>
    <t>NAC016</t>
  </si>
  <si>
    <t>Das</t>
  </si>
  <si>
    <t>NAC017</t>
  </si>
  <si>
    <t>Tanmay</t>
  </si>
  <si>
    <t>Sinha</t>
  </si>
  <si>
    <t>NAC018</t>
  </si>
  <si>
    <t>Nidhi</t>
  </si>
  <si>
    <t>Reddy</t>
  </si>
  <si>
    <t>NAC019</t>
  </si>
  <si>
    <t>Yash</t>
  </si>
  <si>
    <t>Dube</t>
  </si>
  <si>
    <t>NAC020</t>
  </si>
  <si>
    <t>Mehul</t>
  </si>
  <si>
    <t>Chauhan</t>
  </si>
  <si>
    <t>NAC021</t>
  </si>
  <si>
    <t>Payal</t>
  </si>
  <si>
    <t>Trivedi</t>
  </si>
  <si>
    <t>NAC022</t>
  </si>
  <si>
    <t>Tarun</t>
  </si>
  <si>
    <t>Kulkarni</t>
  </si>
  <si>
    <t>NAC023</t>
  </si>
  <si>
    <t>Reema</t>
  </si>
  <si>
    <t>Patil</t>
  </si>
  <si>
    <t>NAC024</t>
  </si>
  <si>
    <t>Bhavya</t>
  </si>
  <si>
    <t>Bhatia</t>
  </si>
  <si>
    <t>NAC025</t>
  </si>
  <si>
    <t>Rahul</t>
  </si>
  <si>
    <t>Srivastava</t>
  </si>
  <si>
    <t>Employees Working in Operation and Having Salary Above 50000</t>
  </si>
  <si>
    <t>Employees having Salary below 25000  or Having Salary Above 50000</t>
  </si>
  <si>
    <t>Nestef IF</t>
  </si>
  <si>
    <t>text join</t>
  </si>
  <si>
    <t>text_if</t>
  </si>
  <si>
    <t>Order Date</t>
  </si>
  <si>
    <t>Customer Name</t>
  </si>
  <si>
    <t>Country</t>
  </si>
  <si>
    <t>State</t>
  </si>
  <si>
    <t>City</t>
  </si>
  <si>
    <t>Profit</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</si>
  <si>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</si>
  <si>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</si>
  <si>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</si>
  <si>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</si>
  <si>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</si>
  <si>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</si>
  <si>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</si>
  <si>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</si>
  <si>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</si>
  <si>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</si>
  <si>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</si>
  <si>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</si>
  <si>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</si>
  <si>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</si>
  <si>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</si>
  <si>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</si>
  <si>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</si>
  <si>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</si>
  <si>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</si>
  <si>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</si>
  <si>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</si>
  <si>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</si>
  <si>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</si>
  <si>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</si>
  <si>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</si>
  <si>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</si>
  <si>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</si>
  <si>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KL-2018-5607040</t>
  </si>
  <si>
    <t>Zephr Hickman</t>
  </si>
  <si>
    <t>Spain</t>
  </si>
  <si>
    <t>Valenciana</t>
  </si>
  <si>
    <t>Gandia</t>
  </si>
  <si>
    <t>KL-2018-5607041</t>
  </si>
  <si>
    <t>Georgia Kane</t>
  </si>
  <si>
    <t>South Denmark</t>
  </si>
  <si>
    <t>Esbjerg</t>
  </si>
  <si>
    <t>KL-2018-5607042</t>
  </si>
  <si>
    <t>Stella Dejesus</t>
  </si>
  <si>
    <t>India</t>
  </si>
  <si>
    <t>Maharashtra</t>
  </si>
  <si>
    <t>Mumbai</t>
  </si>
  <si>
    <t>KL-2018-5607043</t>
  </si>
  <si>
    <t>Dahlia Porter</t>
  </si>
  <si>
    <t>Bihar</t>
  </si>
  <si>
    <t>Patna</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</si>
  <si>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</si>
  <si>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</si>
  <si>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</si>
  <si>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</si>
  <si>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</si>
  <si>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</si>
  <si>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</si>
  <si>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</si>
  <si>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</si>
  <si>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</si>
  <si>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</si>
  <si>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</si>
  <si>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</si>
  <si>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</si>
  <si>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</si>
  <si>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</si>
  <si>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</si>
  <si>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</si>
  <si>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</si>
  <si>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</si>
  <si>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Pune</t>
  </si>
  <si>
    <t>KL-2018-5607050</t>
  </si>
  <si>
    <t>Diana Guthrie</t>
  </si>
  <si>
    <t>KL-2018-5607051</t>
  </si>
  <si>
    <t>Neville Ashley</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</si>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</sst>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7" x14ac:knownFonts="1">
    <font>
      <sz val="11"/>
      <color theme="1"/>
      <name val="Calibri"/>
      <family val="2"/>
      <scheme val="minor"/>
    </font>
    <font>
      <b/>
      <sz val="11"/>
      <color theme="1"/>
      <name val="Calibri"/>
      <family val="2"/>
      <scheme val="minor"/>
    </font>
    <font>
      <b/>
      <sz val="11"/>
      <color theme="4" tint="-0.249977111117893"/>
      <name val="Calibri"/>
      <family val="2"/>
      <scheme val="minor"/>
    </font>
    <font>
      <u/>
      <sz val="11"/>
      <color theme="10"/>
      <name val="Calibri"/>
      <family val="2"/>
      <scheme val="minor"/>
    </font>
    <font>
      <b/>
      <sz val="26"/>
      <color theme="1"/>
      <name val="Calibri"/>
      <family val="2"/>
      <scheme val="minor"/>
    </font>
    <font>
      <sz val="8"/>
      <name val="Calibri"/>
      <family val="2"/>
      <scheme val="minor"/>
    </font>
    <font>
      <sz val="22"/>
      <color theme="1"/>
      <name val="Times New Roman"/>
      <family val="1"/>
    </font>
    <font>
      <b/>
      <sz val="24"/>
      <color theme="1"/>
      <name val="Times New Roman"/>
      <family val="1"/>
    </font>
    <font>
      <sz val="24"/>
      <color theme="1"/>
      <name val="Calibri"/>
      <family val="2"/>
      <scheme val="minor"/>
    </font>
    <font>
      <sz val="12"/>
      <color theme="1"/>
      <name val="Calibri"/>
      <family val="2"/>
      <scheme val="minor"/>
    </font>
    <font>
      <sz val="12"/>
      <color theme="0"/>
      <name val="Calibri"/>
      <family val="2"/>
      <scheme val="minor"/>
    </font>
    <font>
      <sz val="12"/>
      <name val="Calibri"/>
      <family val="2"/>
      <scheme val="minor"/>
    </font>
    <font>
      <b/>
      <sz val="12"/>
      <name val="Calibri"/>
      <family val="2"/>
      <scheme val="minor"/>
    </font>
    <font>
      <sz val="11"/>
      <name val="Calibri"/>
      <family val="2"/>
      <scheme val="minor"/>
    </font>
    <font>
      <u/>
      <sz val="11"/>
      <name val="Calibri"/>
      <family val="2"/>
      <scheme val="minor"/>
    </font>
    <font>
      <b/>
      <sz val="11"/>
      <name val="Calibri"/>
      <family val="2"/>
      <scheme val="minor"/>
    </font>
    <font>
      <sz val="11"/>
      <color theme="0"/>
      <name val="Calibri"/>
      <family val="2"/>
      <scheme val="minor"/>
    </font>
  </fonts>
  <fills count="11">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0"/>
        <bgColor theme="8" tint="0.59999389629810485"/>
      </patternFill>
    </fill>
    <fill>
      <patternFill patternType="solid">
        <fgColor theme="0"/>
        <bgColor theme="8" tint="0.79998168889431442"/>
      </patternFill>
    </fill>
  </fills>
  <borders count="21">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indexed="64"/>
      </right>
      <top style="thin">
        <color indexed="64"/>
      </top>
      <bottom/>
      <diagonal/>
    </border>
    <border>
      <left style="thin">
        <color auto="1"/>
      </left>
      <right/>
      <top style="thin">
        <color auto="1"/>
      </top>
      <bottom/>
      <diagonal/>
    </border>
    <border>
      <left/>
      <right style="thin">
        <color auto="1"/>
      </right>
      <top/>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77">
    <xf numFmtId="0" fontId="0" fillId="0" borderId="0" xfId="0"/>
    <xf numFmtId="0" fontId="0" fillId="0" borderId="0" xfId="0" applyAlignment="1">
      <alignment horizontal="center"/>
    </xf>
    <xf numFmtId="0" fontId="0" fillId="0" borderId="0" xfId="0" applyAlignment="1">
      <alignment horizontal="center" vertical="center"/>
    </xf>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center" vertical="center"/>
    </xf>
    <xf numFmtId="0" fontId="0" fillId="0" borderId="1" xfId="0" applyBorder="1" applyAlignment="1">
      <alignment horizontal="center"/>
    </xf>
    <xf numFmtId="0" fontId="0" fillId="0" borderId="1" xfId="0" applyBorder="1"/>
    <xf numFmtId="164" fontId="0" fillId="0" borderId="1" xfId="0" applyNumberFormat="1" applyBorder="1" applyAlignment="1">
      <alignment horizontal="center" vertical="center"/>
    </xf>
    <xf numFmtId="1" fontId="0" fillId="0" borderId="1" xfId="0" applyNumberFormat="1" applyBorder="1"/>
    <xf numFmtId="0" fontId="2" fillId="3" borderId="0" xfId="0" applyFont="1" applyFill="1"/>
    <xf numFmtId="0" fontId="1" fillId="0" borderId="0" xfId="0" applyFont="1" applyAlignment="1">
      <alignment horizontal="center"/>
    </xf>
    <xf numFmtId="0" fontId="1" fillId="6" borderId="1" xfId="0" applyFont="1" applyFill="1" applyBorder="1" applyAlignment="1">
      <alignment horizontal="center" vertical="top"/>
    </xf>
    <xf numFmtId="0" fontId="3" fillId="0" borderId="1" xfId="1" applyBorder="1"/>
    <xf numFmtId="0" fontId="7" fillId="0" borderId="0" xfId="0" applyFont="1"/>
    <xf numFmtId="0" fontId="8" fillId="0" borderId="0" xfId="0" applyFont="1"/>
    <xf numFmtId="0" fontId="1" fillId="0" borderId="0" xfId="0" applyFont="1"/>
    <xf numFmtId="0" fontId="0" fillId="0" borderId="12" xfId="0" applyBorder="1"/>
    <xf numFmtId="0" fontId="0" fillId="0" borderId="10" xfId="0" applyBorder="1"/>
    <xf numFmtId="0" fontId="0" fillId="0" borderId="13" xfId="0" applyBorder="1"/>
    <xf numFmtId="0" fontId="3" fillId="0" borderId="13" xfId="1" applyBorder="1"/>
    <xf numFmtId="0" fontId="0" fillId="0" borderId="17" xfId="0" applyBorder="1"/>
    <xf numFmtId="0" fontId="0" fillId="0" borderId="18" xfId="0" applyBorder="1"/>
    <xf numFmtId="0" fontId="9" fillId="6" borderId="15" xfId="0" applyFont="1" applyFill="1" applyBorder="1" applyAlignment="1">
      <alignment horizontal="center" vertical="top"/>
    </xf>
    <xf numFmtId="0" fontId="9" fillId="6" borderId="16" xfId="0" applyFont="1" applyFill="1" applyBorder="1" applyAlignment="1">
      <alignment horizontal="center" vertical="top"/>
    </xf>
    <xf numFmtId="0" fontId="10" fillId="6" borderId="1" xfId="0" applyFont="1" applyFill="1" applyBorder="1" applyAlignment="1">
      <alignment horizontal="center" vertical="top"/>
    </xf>
    <xf numFmtId="0" fontId="0" fillId="7" borderId="1" xfId="0" applyFill="1" applyBorder="1"/>
    <xf numFmtId="0" fontId="0" fillId="8" borderId="1" xfId="0" applyFill="1" applyBorder="1"/>
    <xf numFmtId="0" fontId="3" fillId="6" borderId="14" xfId="1" applyFill="1" applyBorder="1" applyAlignment="1">
      <alignment horizontal="center" vertical="top"/>
    </xf>
    <xf numFmtId="0" fontId="0" fillId="9" borderId="1" xfId="0" applyFill="1" applyBorder="1"/>
    <xf numFmtId="0" fontId="0" fillId="10" borderId="1" xfId="0" applyFill="1" applyBorder="1"/>
    <xf numFmtId="0" fontId="12" fillId="3" borderId="1" xfId="0" applyFont="1" applyFill="1" applyBorder="1" applyAlignment="1">
      <alignment horizontal="center" vertical="top"/>
    </xf>
    <xf numFmtId="0" fontId="1" fillId="0" borderId="1" xfId="0" applyFont="1" applyBorder="1"/>
    <xf numFmtId="0" fontId="0" fillId="9" borderId="15" xfId="0" applyFill="1" applyBorder="1"/>
    <xf numFmtId="0" fontId="13" fillId="9" borderId="1" xfId="0" applyFont="1" applyFill="1" applyBorder="1"/>
    <xf numFmtId="0" fontId="13" fillId="10" borderId="1" xfId="0" applyFont="1" applyFill="1" applyBorder="1"/>
    <xf numFmtId="0" fontId="14" fillId="9" borderId="1" xfId="1" applyFont="1" applyFill="1" applyBorder="1"/>
    <xf numFmtId="0" fontId="11" fillId="6" borderId="1" xfId="0" applyFont="1" applyFill="1" applyBorder="1" applyAlignment="1">
      <alignment horizontal="center" vertical="top"/>
    </xf>
    <xf numFmtId="0" fontId="0" fillId="6" borderId="0" xfId="0" applyFill="1"/>
    <xf numFmtId="0" fontId="15" fillId="4" borderId="0" xfId="0" applyFont="1" applyFill="1"/>
    <xf numFmtId="0" fontId="12" fillId="4" borderId="1" xfId="0" applyFont="1" applyFill="1" applyBorder="1" applyAlignment="1">
      <alignment horizontal="center" vertical="top"/>
    </xf>
    <xf numFmtId="0" fontId="0" fillId="5" borderId="1" xfId="0" applyFill="1" applyBorder="1"/>
    <xf numFmtId="0" fontId="0" fillId="3" borderId="0" xfId="0" applyFill="1"/>
    <xf numFmtId="0" fontId="16" fillId="6" borderId="0" xfId="0" applyFont="1" applyFill="1"/>
    <xf numFmtId="0" fontId="0" fillId="0" borderId="0" xfId="0" pivotButton="1"/>
    <xf numFmtId="0" fontId="1" fillId="0" borderId="19" xfId="0" applyFont="1" applyBorder="1"/>
    <xf numFmtId="14" fontId="0" fillId="0" borderId="0" xfId="0" applyNumberFormat="1"/>
    <xf numFmtId="0" fontId="1" fillId="6" borderId="1" xfId="0" applyFont="1" applyFill="1" applyBorder="1"/>
    <xf numFmtId="0" fontId="0" fillId="0" borderId="10" xfId="0"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5" xfId="0" applyFont="1" applyFill="1" applyBorder="1"/>
    <xf numFmtId="0" fontId="1" fillId="2" borderId="16" xfId="0" applyFont="1" applyFill="1" applyBorder="1" applyAlignment="1">
      <alignment horizontal="center"/>
    </xf>
    <xf numFmtId="0" fontId="0" fillId="0" borderId="17" xfId="0" applyBorder="1" applyAlignment="1">
      <alignment horizontal="center"/>
    </xf>
    <xf numFmtId="0" fontId="0" fillId="0" borderId="12" xfId="0" applyBorder="1" applyAlignment="1">
      <alignment horizontal="center"/>
    </xf>
    <xf numFmtId="1" fontId="0" fillId="0" borderId="12" xfId="0" applyNumberFormat="1" applyBorder="1"/>
    <xf numFmtId="0" fontId="3" fillId="6" borderId="15" xfId="1" applyFill="1" applyBorder="1" applyAlignment="1">
      <alignment horizontal="center" vertical="top"/>
    </xf>
    <xf numFmtId="49" fontId="0" fillId="0" borderId="0" xfId="0" applyNumberFormat="1"/>
    <xf numFmtId="0" fontId="0" fillId="0" borderId="0" xfId="0"/>
    <xf numFmtId="0" fontId="1" fillId="6" borderId="20" xfId="0" applyFont="1" applyFill="1" applyBorder="1" applyAlignment="1">
      <alignment horizontal="center" vertical="top"/>
    </xf>
    <xf numFmtId="0" fontId="12" fillId="0" borderId="1" xfId="0" applyFont="1" applyBorder="1"/>
    <xf numFmtId="14" fontId="12" fillId="0" borderId="1" xfId="0" applyNumberFormat="1" applyFont="1" applyBorder="1"/>
    <xf numFmtId="0" fontId="0" fillId="0" borderId="1" xfId="0" applyBorder="1"/>
    <xf numFmtId="14" fontId="0" fillId="0" borderId="1" xfId="0" applyNumberFormat="1" applyBorder="1"/>
    <xf numFmtId="0" fontId="1" fillId="6" borderId="20" xfId="0" applyFont="1" applyFill="1" applyBorder="1" applyAlignment="1">
      <alignment horizontal="center" vertical="center"/>
    </xf>
    <xf numFmtId="0" fontId="1" fillId="6" borderId="12"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0" xfId="0" applyFont="1" applyFill="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6" fillId="5" borderId="0" xfId="0" applyFont="1" applyFill="1" applyAlignment="1">
      <alignment horizontal="center" vertical="center"/>
    </xf>
    <xf numFmtId="0" fontId="6" fillId="5" borderId="11" xfId="0" applyFont="1" applyFill="1" applyBorder="1" applyAlignment="1">
      <alignment horizontal="center" vertical="center"/>
    </xf>
  </cellXfs>
  <cellStyles count="2">
    <cellStyle name="Hyperlink" xfId="1" builtinId="8"/>
    <cellStyle name="Normal"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2"/>
        <color theme="1"/>
        <name val="Calibri"/>
        <family val="2"/>
        <scheme val="minor"/>
      </font>
      <fill>
        <patternFill patternType="solid">
          <fgColor indexed="64"/>
          <bgColor theme="5"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8" tint="0.59999389629810485"/>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2.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1.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899825021872265E-2"/>
          <c:y val="0.19486111111111112"/>
          <c:w val="0.89019685039370078"/>
          <c:h val="0.64620005832604255"/>
        </c:manualLayout>
      </c:layout>
      <c:barChart>
        <c:barDir val="col"/>
        <c:grouping val="clustered"/>
        <c:varyColors val="0"/>
        <c:ser>
          <c:idx val="0"/>
          <c:order val="0"/>
          <c:tx>
            <c:strRef>
              <c:f>'Chart In Excel'!$B$1</c:f>
              <c:strCache>
                <c:ptCount val="1"/>
                <c:pt idx="0">
                  <c:v>Final Test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In Excel'!$A$2:$A$16</c:f>
              <c:strCache>
                <c:ptCount val="15"/>
                <c:pt idx="0">
                  <c:v>Aarav</c:v>
                </c:pt>
                <c:pt idx="1">
                  <c:v>Ananya</c:v>
                </c:pt>
                <c:pt idx="2">
                  <c:v>Vihaan</c:v>
                </c:pt>
                <c:pt idx="3">
                  <c:v>Ishita</c:v>
                </c:pt>
                <c:pt idx="4">
                  <c:v>Arjun</c:v>
                </c:pt>
                <c:pt idx="5">
                  <c:v>Nisha</c:v>
                </c:pt>
                <c:pt idx="6">
                  <c:v>Kabir</c:v>
                </c:pt>
                <c:pt idx="7">
                  <c:v>Priya</c:v>
                </c:pt>
                <c:pt idx="8">
                  <c:v>Rohan</c:v>
                </c:pt>
                <c:pt idx="9">
                  <c:v>Sneha</c:v>
                </c:pt>
                <c:pt idx="10">
                  <c:v>Krishna</c:v>
                </c:pt>
                <c:pt idx="11">
                  <c:v>Meera</c:v>
                </c:pt>
                <c:pt idx="12">
                  <c:v>Aditya</c:v>
                </c:pt>
                <c:pt idx="13">
                  <c:v>Pooja</c:v>
                </c:pt>
                <c:pt idx="14">
                  <c:v>Varun</c:v>
                </c:pt>
              </c:strCache>
            </c:strRef>
          </c:cat>
          <c:val>
            <c:numRef>
              <c:f>'Chart In Excel'!$B$2:$B$16</c:f>
              <c:numCache>
                <c:formatCode>General</c:formatCode>
                <c:ptCount val="15"/>
                <c:pt idx="0">
                  <c:v>100</c:v>
                </c:pt>
                <c:pt idx="1">
                  <c:v>72</c:v>
                </c:pt>
                <c:pt idx="2">
                  <c:v>7</c:v>
                </c:pt>
                <c:pt idx="3">
                  <c:v>79</c:v>
                </c:pt>
                <c:pt idx="4">
                  <c:v>55</c:v>
                </c:pt>
                <c:pt idx="5">
                  <c:v>65</c:v>
                </c:pt>
                <c:pt idx="6">
                  <c:v>4</c:v>
                </c:pt>
                <c:pt idx="7">
                  <c:v>42</c:v>
                </c:pt>
                <c:pt idx="8">
                  <c:v>49</c:v>
                </c:pt>
                <c:pt idx="9">
                  <c:v>52</c:v>
                </c:pt>
                <c:pt idx="10">
                  <c:v>98</c:v>
                </c:pt>
                <c:pt idx="11">
                  <c:v>68</c:v>
                </c:pt>
                <c:pt idx="12">
                  <c:v>37</c:v>
                </c:pt>
                <c:pt idx="13">
                  <c:v>42</c:v>
                </c:pt>
                <c:pt idx="14">
                  <c:v>76</c:v>
                </c:pt>
              </c:numCache>
            </c:numRef>
          </c:val>
          <c:extLst>
            <c:ext xmlns:c16="http://schemas.microsoft.com/office/drawing/2014/chart" uri="{C3380CC4-5D6E-409C-BE32-E72D297353CC}">
              <c16:uniqueId val="{00000000-8E42-4E34-B5C0-3112CB80D346}"/>
            </c:ext>
          </c:extLst>
        </c:ser>
        <c:dLbls>
          <c:dLblPos val="outEnd"/>
          <c:showLegendKey val="0"/>
          <c:showVal val="1"/>
          <c:showCatName val="0"/>
          <c:showSerName val="0"/>
          <c:showPercent val="0"/>
          <c:showBubbleSize val="0"/>
        </c:dLbls>
        <c:gapWidth val="219"/>
        <c:overlap val="-27"/>
        <c:axId val="959275887"/>
        <c:axId val="959277807"/>
      </c:barChart>
      <c:catAx>
        <c:axId val="959275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Student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77807"/>
        <c:crosses val="autoZero"/>
        <c:auto val="1"/>
        <c:lblAlgn val="ctr"/>
        <c:lblOffset val="100"/>
        <c:noMultiLvlLbl val="0"/>
      </c:catAx>
      <c:valAx>
        <c:axId val="9592778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Marks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2758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14</xdr:col>
      <xdr:colOff>295274</xdr:colOff>
      <xdr:row>10</xdr:row>
      <xdr:rowOff>76200</xdr:rowOff>
    </xdr:from>
    <xdr:to>
      <xdr:col>17</xdr:col>
      <xdr:colOff>476249</xdr:colOff>
      <xdr:row>19</xdr:row>
      <xdr:rowOff>76200</xdr:rowOff>
    </xdr:to>
    <mc:AlternateContent xmlns:mc="http://schemas.openxmlformats.org/markup-compatibility/2006" xmlns:sle15="http://schemas.microsoft.com/office/drawing/2012/slicer">
      <mc:Choice Requires="sle15">
        <xdr:graphicFrame macro="">
          <xdr:nvGraphicFramePr>
            <xdr:cNvPr id="2" name="Gender">
              <a:extLst>
                <a:ext uri="{FF2B5EF4-FFF2-40B4-BE49-F238E27FC236}">
                  <a16:creationId xmlns:a16="http://schemas.microsoft.com/office/drawing/2014/main" id="{F59DBF12-77E5-B5CB-C397-369BAE04846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68024" y="1419225"/>
              <a:ext cx="2009775" cy="952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285749</xdr:colOff>
      <xdr:row>19</xdr:row>
      <xdr:rowOff>161926</xdr:rowOff>
    </xdr:from>
    <xdr:to>
      <xdr:col>17</xdr:col>
      <xdr:colOff>447674</xdr:colOff>
      <xdr:row>28</xdr:row>
      <xdr:rowOff>171450</xdr:rowOff>
    </xdr:to>
    <mc:AlternateContent xmlns:mc="http://schemas.openxmlformats.org/markup-compatibility/2006" xmlns:sle15="http://schemas.microsoft.com/office/drawing/2012/slicer">
      <mc:Choice Requires="sle15">
        <xdr:graphicFrame macro="">
          <xdr:nvGraphicFramePr>
            <xdr:cNvPr id="3" name="House">
              <a:extLst>
                <a:ext uri="{FF2B5EF4-FFF2-40B4-BE49-F238E27FC236}">
                  <a16:creationId xmlns:a16="http://schemas.microsoft.com/office/drawing/2014/main" id="{ED2A3B24-F0F8-7FEF-7B7F-66A6EF2886F1}"/>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mlns="">
        <xdr:sp macro="" textlink="">
          <xdr:nvSpPr>
            <xdr:cNvPr id="0" name=""/>
            <xdr:cNvSpPr>
              <a:spLocks noTextEdit="1"/>
            </xdr:cNvSpPr>
          </xdr:nvSpPr>
          <xdr:spPr>
            <a:xfrm>
              <a:off x="10858499" y="2457451"/>
              <a:ext cx="1990725" cy="172402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18</xdr:col>
      <xdr:colOff>533400</xdr:colOff>
      <xdr:row>4</xdr:row>
      <xdr:rowOff>66675</xdr:rowOff>
    </xdr:from>
    <xdr:to>
      <xdr:col>22</xdr:col>
      <xdr:colOff>180975</xdr:colOff>
      <xdr:row>9</xdr:row>
      <xdr:rowOff>180975</xdr:rowOff>
    </xdr:to>
    <xdr:sp macro="" textlink="">
      <xdr:nvSpPr>
        <xdr:cNvPr id="4" name="Rectangle 3">
          <a:extLst>
            <a:ext uri="{FF2B5EF4-FFF2-40B4-BE49-F238E27FC236}">
              <a16:creationId xmlns:a16="http://schemas.microsoft.com/office/drawing/2014/main" id="{1309198B-70B9-4380-571C-9791B8658057}"/>
            </a:ext>
          </a:extLst>
        </xdr:cNvPr>
        <xdr:cNvSpPr/>
      </xdr:nvSpPr>
      <xdr:spPr>
        <a:xfrm>
          <a:off x="13544550" y="838200"/>
          <a:ext cx="2085975" cy="1066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207309</xdr:colOff>
      <xdr:row>0</xdr:row>
      <xdr:rowOff>48743</xdr:rowOff>
    </xdr:from>
    <xdr:to>
      <xdr:col>11</xdr:col>
      <xdr:colOff>386603</xdr:colOff>
      <xdr:row>16</xdr:row>
      <xdr:rowOff>184897</xdr:rowOff>
    </xdr:to>
    <xdr:graphicFrame macro="">
      <xdr:nvGraphicFramePr>
        <xdr:cNvPr id="2" name="Chart 1">
          <a:extLst>
            <a:ext uri="{FF2B5EF4-FFF2-40B4-BE49-F238E27FC236}">
              <a16:creationId xmlns:a16="http://schemas.microsoft.com/office/drawing/2014/main" id="{594296E2-3F7D-CD2E-D01C-91804A6F4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653.304470601855" createdVersion="8" refreshedVersion="8" minRefreshableVersion="3" recordCount="15" xr:uid="{126CD7E6-E839-45C6-AFE6-F0769ED50CD6}">
  <cacheSource type="worksheet">
    <worksheetSource ref="A2:H17" sheet="Pivot Table"/>
  </cacheSource>
  <cacheFields count="8">
    <cacheField name="Name" numFmtId="0">
      <sharedItems/>
    </cacheField>
    <cacheField name="Gender" numFmtId="0">
      <sharedItems count="2">
        <s v="Male"/>
        <s v="Female"/>
      </sharedItems>
    </cacheField>
    <cacheField name="Age" numFmtId="0">
      <sharedItems containsSemiMixedTypes="0" containsString="0" containsNumber="1" containsInteger="1" minValue="15" maxValue="18"/>
    </cacheField>
    <cacheField name="Class" numFmtId="0">
      <sharedItems/>
    </cacheField>
    <cacheField name="House" numFmtId="0">
      <sharedItems count="4">
        <s v="Green"/>
        <s v="Yellow"/>
        <s v="Blue"/>
        <s v="Red"/>
      </sharedItems>
    </cacheField>
    <cacheField name="Unit Test 1" numFmtId="0">
      <sharedItems containsSemiMixedTypes="0" containsString="0" containsNumber="1" containsInteger="1" minValue="7" maxValue="99" count="15">
        <n v="55"/>
        <n v="22"/>
        <n v="91"/>
        <n v="45"/>
        <n v="93"/>
        <n v="96"/>
        <n v="42"/>
        <n v="61"/>
        <n v="19"/>
        <n v="15"/>
        <n v="84"/>
        <n v="7"/>
        <n v="50"/>
        <n v="99"/>
        <n v="11"/>
      </sharedItems>
    </cacheField>
    <cacheField name="Unit Test 2" numFmtId="0">
      <sharedItems containsSemiMixedTypes="0" containsString="0" containsNumber="1" containsInteger="1" minValue="20" maxValue="99"/>
    </cacheField>
    <cacheField name="Final Test" numFmtId="0">
      <sharedItems containsSemiMixedTypes="0" containsString="0" containsNumber="1" containsInteger="1" minValue="4"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Aarav"/>
    <x v="0"/>
    <n v="17"/>
    <s v="10A"/>
    <x v="0"/>
    <x v="0"/>
    <n v="99"/>
    <n v="100"/>
  </r>
  <r>
    <s v="Ananya"/>
    <x v="1"/>
    <n v="18"/>
    <s v="10C"/>
    <x v="1"/>
    <x v="1"/>
    <n v="48"/>
    <n v="72"/>
  </r>
  <r>
    <s v="Vihaan"/>
    <x v="1"/>
    <n v="17"/>
    <s v="11B"/>
    <x v="2"/>
    <x v="2"/>
    <n v="68"/>
    <n v="7"/>
  </r>
  <r>
    <s v="Ishita"/>
    <x v="0"/>
    <n v="16"/>
    <s v="10B"/>
    <x v="2"/>
    <x v="3"/>
    <n v="58"/>
    <n v="79"/>
  </r>
  <r>
    <s v="Arjun"/>
    <x v="0"/>
    <n v="18"/>
    <s v="11A"/>
    <x v="1"/>
    <x v="4"/>
    <n v="20"/>
    <n v="55"/>
  </r>
  <r>
    <s v="Nisha"/>
    <x v="1"/>
    <n v="16"/>
    <s v="10A"/>
    <x v="1"/>
    <x v="5"/>
    <n v="57"/>
    <n v="65"/>
  </r>
  <r>
    <s v="Kabir"/>
    <x v="0"/>
    <n v="18"/>
    <s v="11B"/>
    <x v="3"/>
    <x v="6"/>
    <n v="37"/>
    <n v="4"/>
  </r>
  <r>
    <s v="Priya"/>
    <x v="1"/>
    <n v="17"/>
    <s v="11C"/>
    <x v="1"/>
    <x v="7"/>
    <n v="91"/>
    <n v="42"/>
  </r>
  <r>
    <s v="Rohan"/>
    <x v="0"/>
    <n v="15"/>
    <s v="10A"/>
    <x v="1"/>
    <x v="8"/>
    <n v="46"/>
    <n v="49"/>
  </r>
  <r>
    <s v="Sneha"/>
    <x v="0"/>
    <n v="16"/>
    <s v="10C"/>
    <x v="3"/>
    <x v="9"/>
    <n v="73"/>
    <n v="52"/>
  </r>
  <r>
    <s v="Krishna"/>
    <x v="0"/>
    <n v="16"/>
    <s v="11C"/>
    <x v="2"/>
    <x v="10"/>
    <n v="31"/>
    <n v="98"/>
  </r>
  <r>
    <s v="Meera"/>
    <x v="1"/>
    <n v="18"/>
    <s v="11B"/>
    <x v="1"/>
    <x v="11"/>
    <n v="60"/>
    <n v="68"/>
  </r>
  <r>
    <s v="Aditya"/>
    <x v="1"/>
    <n v="15"/>
    <s v="10B"/>
    <x v="2"/>
    <x v="12"/>
    <n v="80"/>
    <n v="37"/>
  </r>
  <r>
    <s v="Pooja"/>
    <x v="1"/>
    <n v="16"/>
    <s v="10B"/>
    <x v="1"/>
    <x v="13"/>
    <n v="52"/>
    <n v="42"/>
  </r>
  <r>
    <s v="Varun"/>
    <x v="0"/>
    <n v="16"/>
    <s v="10A"/>
    <x v="3"/>
    <x v="14"/>
    <n v="71"/>
    <n v="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588845-D9D1-4446-A547-DDECBCF78B68}"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4" firstHeaderRow="1" firstDataRow="1" firstDataCol="2"/>
  <pivotFields count="8">
    <pivotField compact="0" outline="0" showAll="0"/>
    <pivotField axis="axisRow" compact="0" outline="0" showAll="0">
      <items count="3">
        <item x="1"/>
        <item x="0"/>
        <item t="default"/>
      </items>
    </pivotField>
    <pivotField compact="0" outline="0" showAll="0"/>
    <pivotField compact="0" outline="0" showAll="0"/>
    <pivotField axis="axisRow" compact="0" outline="0"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compact="0" outline="0" showAll="0">
      <items count="16">
        <item x="11"/>
        <item x="14"/>
        <item x="9"/>
        <item x="8"/>
        <item x="1"/>
        <item x="6"/>
        <item x="3"/>
        <item x="12"/>
        <item x="0"/>
        <item x="7"/>
        <item x="10"/>
        <item x="2"/>
        <item x="4"/>
        <item x="5"/>
        <item x="13"/>
        <item t="default"/>
      </items>
    </pivotField>
    <pivotField compact="0" outline="0" showAll="0"/>
    <pivotField dataField="1" compact="0" outline="0" showAll="0"/>
  </pivotFields>
  <rowFields count="2">
    <field x="4"/>
    <field x="1"/>
  </rowFields>
  <rowItems count="11">
    <i>
      <x v="3"/>
      <x/>
    </i>
    <i r="1">
      <x v="1"/>
    </i>
    <i t="default">
      <x v="3"/>
    </i>
    <i>
      <x/>
      <x/>
    </i>
    <i r="1">
      <x v="1"/>
    </i>
    <i t="default">
      <x/>
    </i>
    <i>
      <x v="2"/>
      <x v="1"/>
    </i>
    <i t="default">
      <x v="2"/>
    </i>
    <i>
      <x v="1"/>
      <x v="1"/>
    </i>
    <i t="default">
      <x v="1"/>
    </i>
    <i t="grand">
      <x/>
    </i>
  </rowItems>
  <colItems count="1">
    <i/>
  </colItems>
  <dataFields count="1">
    <dataField name="Sum of Final Te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C0EB418-E30F-4FA5-8D96-2E531797091C}" sourceName="Gender">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CFEFD353-F348-4A4A-9F78-8D2F755D0B58}" sourceName="Hous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6B6B98D-7236-4C7E-AD42-5755D9F3E052}" cache="Slicer_Gender" caption="Gender" rowHeight="241300"/>
  <slicer name="House" xr10:uid="{796F7054-7C4D-4676-A9AB-C2998AD76C73}" cache="Slicer_House" caption="Hou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5A4574-8F30-4594-AE51-A56CE3D40AEB}" name="Table1" displayName="Table1" ref="A1:E6" totalsRowShown="0" headerRowDxfId="31" headerRowBorderDxfId="30" tableBorderDxfId="29" totalsRowBorderDxfId="28">
  <autoFilter ref="A1:E6" xr:uid="{175A4574-8F30-4594-AE51-A56CE3D40AEB}"/>
  <tableColumns count="5">
    <tableColumn id="1" xr3:uid="{662215F2-02D9-4B39-935F-A2B084A73A16}" name="Sal-Feb" dataDxfId="27"/>
    <tableColumn id="2" xr3:uid="{FE4C39BF-79DB-4377-9AD5-C734BCBD3254}" name="Sal-Mar" dataDxfId="26"/>
    <tableColumn id="3" xr3:uid="{9BFA3BFB-7B34-404E-BAE4-98CAF8A05A11}" name="Sal Total" dataDxfId="25">
      <calculatedColumnFormula>SUM(#REF!)</calculatedColumnFormula>
    </tableColumn>
    <tableColumn id="4" xr3:uid="{F0542488-5E33-40EB-9607-420E94D7A038}" name="Avg Sal" dataDxfId="24">
      <calculatedColumnFormula>AVERAGE(#REF!)</calculatedColumnFormula>
    </tableColumn>
    <tableColumn id="5" xr3:uid="{C582625D-9D1D-4FFD-A0E9-933C84B64E05}" name="Full Name" dataDxfId="23">
      <calculatedColumnFormula>_xlfn.CONCAT(#REF!," ",#REF!)</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14A659-5E9D-4F6D-A1C4-FDFE42FB1413}" name="Table2" displayName="Table2" ref="A4:I19" totalsRowShown="0" headerRowDxfId="20" headerRowBorderDxfId="19" tableBorderDxfId="18" totalsRowBorderDxfId="17">
  <autoFilter ref="A4:I19" xr:uid="{2414A659-5E9D-4F6D-A1C4-FDFE42FB1413}">
    <filterColumn colId="1">
      <filters>
        <filter val="Male"/>
      </filters>
    </filterColumn>
  </autoFilter>
  <tableColumns count="9">
    <tableColumn id="1" xr3:uid="{8A8D88F9-E39B-4F6C-B550-0D088887D4B8}" name="Name" dataDxfId="16"/>
    <tableColumn id="2" xr3:uid="{A541B73D-1273-4872-9674-9B3CBC6A977B}" name="Gender" dataDxfId="15"/>
    <tableColumn id="3" xr3:uid="{7AC4C78C-EBEC-4049-8385-DB96FD5F0059}" name="Age" dataDxfId="14"/>
    <tableColumn id="4" xr3:uid="{219450AE-C908-4D80-B23E-1905F5789728}" name="Class" dataDxfId="13"/>
    <tableColumn id="5" xr3:uid="{15D66F8F-93D0-40D7-ADB2-2BC88971C15C}" name="House" dataDxfId="12"/>
    <tableColumn id="6" xr3:uid="{81FDE39F-71B1-4D55-B059-2CBF03A6F558}" name="Unit Test 1" dataDxfId="11"/>
    <tableColumn id="7" xr3:uid="{B55A5511-2FA9-452D-AF8C-E57A1A8B9E63}" name="Unit Test 2" dataDxfId="10"/>
    <tableColumn id="8" xr3:uid="{5CB48BB4-DCD9-4313-A9DD-EA3BE4495B06}" name="Final Test" dataDxfId="9"/>
    <tableColumn id="9" xr3:uid="{ABEAC13F-9154-4435-B2E6-B8F3B1D0AF8B}" name="Email" dataDxfId="8"/>
  </tableColumns>
  <tableStyleInfo name="TableStyleDark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E19E10-E198-478C-B93F-D3A3C5C62D20}" name="Table3" displayName="Table3" ref="A2:A5" totalsRowShown="0" headerRowDxfId="7" dataDxfId="6">
  <autoFilter ref="A2:A5" xr:uid="{0AE19E10-E198-478C-B93F-D3A3C5C62D20}"/>
  <tableColumns count="1">
    <tableColumn id="1" xr3:uid="{8C7E1129-AA84-4632-B1B3-21670D048A85}" name="Grade"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hyperlink" Target="mailto:rohan.64@schoo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rohan.64@school.com"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hyperlink" Target="mailto:rohan.64@school.com" TargetMode="External"/><Relationship Id="rId4" Type="http://schemas.microsoft.com/office/2007/relationships/slicer" Target="../slicers/slicer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hyperlink" Target="mailto:rohan.64@school.co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6733-9D26-45B1-8254-8CE201353B22}">
  <sheetPr>
    <tabColor theme="8" tint="-0.249977111117893"/>
  </sheetPr>
  <dimension ref="A1:J6"/>
  <sheetViews>
    <sheetView topLeftCell="F1" zoomScale="154" zoomScaleNormal="187" workbookViewId="0">
      <selection activeCell="F1" sqref="F1:J6"/>
    </sheetView>
  </sheetViews>
  <sheetFormatPr defaultRowHeight="15" x14ac:dyDescent="0.25"/>
  <cols>
    <col min="1" max="1" width="5" style="1" bestFit="1" customWidth="1"/>
    <col min="2" max="2" width="11" bestFit="1" customWidth="1"/>
    <col min="3" max="3" width="10.140625" bestFit="1" customWidth="1"/>
    <col min="4" max="4" width="17.42578125" style="2" bestFit="1" customWidth="1"/>
    <col min="9" max="9" width="10.28515625" bestFit="1" customWidth="1"/>
    <col min="10" max="10" width="12.28515625" bestFit="1" customWidth="1"/>
  </cols>
  <sheetData>
    <row r="1" spans="1:10" x14ac:dyDescent="0.25">
      <c r="A1" s="3" t="s">
        <v>0</v>
      </c>
      <c r="B1" s="4" t="s">
        <v>8</v>
      </c>
      <c r="C1" s="4" t="s">
        <v>1</v>
      </c>
      <c r="D1" s="5" t="s">
        <v>2</v>
      </c>
      <c r="E1" s="3" t="s">
        <v>3</v>
      </c>
      <c r="F1" s="3" t="s">
        <v>4</v>
      </c>
      <c r="G1" s="3" t="s">
        <v>5</v>
      </c>
      <c r="H1" s="4" t="s">
        <v>6</v>
      </c>
      <c r="I1" s="4" t="s">
        <v>19</v>
      </c>
      <c r="J1" s="3" t="s">
        <v>7</v>
      </c>
    </row>
    <row r="2" spans="1:10" x14ac:dyDescent="0.25">
      <c r="A2" s="6">
        <v>1</v>
      </c>
      <c r="B2" s="7" t="s">
        <v>9</v>
      </c>
      <c r="C2" s="7" t="s">
        <v>10</v>
      </c>
      <c r="D2" s="8">
        <v>44576</v>
      </c>
      <c r="E2" s="6">
        <v>5000</v>
      </c>
      <c r="F2" s="6">
        <v>5200</v>
      </c>
      <c r="G2" s="6">
        <v>4800</v>
      </c>
      <c r="H2" s="7">
        <f>SUM(E2:G2)</f>
        <v>15000</v>
      </c>
      <c r="I2" s="7">
        <f>AVERAGE(E2:G2)</f>
        <v>5000</v>
      </c>
      <c r="J2" s="7" t="str">
        <f>_xlfn.CONCAT(B2," ",C2)</f>
        <v>Ankit Sharma</v>
      </c>
    </row>
    <row r="3" spans="1:10" x14ac:dyDescent="0.25">
      <c r="A3" s="6">
        <v>2</v>
      </c>
      <c r="B3" s="7" t="s">
        <v>11</v>
      </c>
      <c r="C3" s="7" t="s">
        <v>12</v>
      </c>
      <c r="D3" s="8">
        <v>44977</v>
      </c>
      <c r="E3" s="6">
        <v>6000</v>
      </c>
      <c r="F3" s="6">
        <v>5900</v>
      </c>
      <c r="G3" s="6">
        <v>6100</v>
      </c>
      <c r="H3" s="7">
        <f t="shared" ref="H3:H6" si="0">SUM(E3:G3)</f>
        <v>18000</v>
      </c>
      <c r="I3" s="7">
        <f t="shared" ref="I3:I6" si="1">AVERAGE(E3:G3)</f>
        <v>6000</v>
      </c>
      <c r="J3" s="7" t="str">
        <f t="shared" ref="J3:J6" si="2">_xlfn.CONCAT(B3," ",C3)</f>
        <v>Priya Verma</v>
      </c>
    </row>
    <row r="4" spans="1:10" x14ac:dyDescent="0.25">
      <c r="A4" s="6">
        <v>3</v>
      </c>
      <c r="B4" s="7" t="s">
        <v>13</v>
      </c>
      <c r="C4" s="7" t="s">
        <v>14</v>
      </c>
      <c r="D4" s="8">
        <v>44535</v>
      </c>
      <c r="E4" s="6">
        <v>4500</v>
      </c>
      <c r="F4" s="6">
        <v>4700</v>
      </c>
      <c r="G4" s="6">
        <v>4600</v>
      </c>
      <c r="H4" s="7">
        <f t="shared" si="0"/>
        <v>13800</v>
      </c>
      <c r="I4" s="7">
        <f t="shared" si="1"/>
        <v>4600</v>
      </c>
      <c r="J4" s="7" t="str">
        <f t="shared" si="2"/>
        <v>Meera Iyer</v>
      </c>
    </row>
    <row r="5" spans="1:10" x14ac:dyDescent="0.25">
      <c r="A5" s="6">
        <v>4</v>
      </c>
      <c r="B5" s="7" t="s">
        <v>15</v>
      </c>
      <c r="C5" s="7" t="s">
        <v>16</v>
      </c>
      <c r="D5" s="8">
        <v>44053</v>
      </c>
      <c r="E5" s="6">
        <v>7000</v>
      </c>
      <c r="F5" s="6">
        <v>6900</v>
      </c>
      <c r="G5" s="6">
        <v>7100</v>
      </c>
      <c r="H5" s="7">
        <f t="shared" si="0"/>
        <v>21000</v>
      </c>
      <c r="I5" s="7">
        <f t="shared" si="1"/>
        <v>7000</v>
      </c>
      <c r="J5" s="7" t="str">
        <f t="shared" si="2"/>
        <v>Rohan Gupta</v>
      </c>
    </row>
    <row r="6" spans="1:10" x14ac:dyDescent="0.25">
      <c r="A6" s="6">
        <v>5</v>
      </c>
      <c r="B6" s="7" t="s">
        <v>17</v>
      </c>
      <c r="C6" s="7" t="s">
        <v>18</v>
      </c>
      <c r="D6" s="8">
        <v>43580</v>
      </c>
      <c r="E6" s="6">
        <v>5500</v>
      </c>
      <c r="F6" s="6">
        <v>5300</v>
      </c>
      <c r="G6" s="6">
        <v>5600</v>
      </c>
      <c r="H6" s="7">
        <f t="shared" si="0"/>
        <v>16400</v>
      </c>
      <c r="I6" s="9">
        <f t="shared" si="1"/>
        <v>5466.666666666667</v>
      </c>
      <c r="J6" s="7" t="str">
        <f t="shared" si="2"/>
        <v>Kavya Desai</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A4C6-4F45-4A23-9EE7-3E542781CF08}">
  <sheetPr>
    <tabColor theme="8" tint="-0.249977111117893"/>
  </sheetPr>
  <dimension ref="A1:E6"/>
  <sheetViews>
    <sheetView workbookViewId="0">
      <selection activeCell="D8" sqref="D8"/>
    </sheetView>
  </sheetViews>
  <sheetFormatPr defaultRowHeight="15" x14ac:dyDescent="0.25"/>
  <cols>
    <col min="1" max="1" width="9.7109375" customWidth="1"/>
    <col min="2" max="2" width="10" customWidth="1"/>
    <col min="3" max="3" width="10.5703125" customWidth="1"/>
    <col min="4" max="4" width="9.42578125" customWidth="1"/>
    <col min="5" max="5" width="12.140625" customWidth="1"/>
  </cols>
  <sheetData>
    <row r="1" spans="1:5" x14ac:dyDescent="0.25">
      <c r="A1" s="49" t="s">
        <v>4</v>
      </c>
      <c r="B1" s="50" t="s">
        <v>5</v>
      </c>
      <c r="C1" s="51" t="s">
        <v>6</v>
      </c>
      <c r="D1" s="51" t="s">
        <v>19</v>
      </c>
      <c r="E1" s="52" t="s">
        <v>7</v>
      </c>
    </row>
    <row r="2" spans="1:5" x14ac:dyDescent="0.25">
      <c r="A2" s="48">
        <v>5200</v>
      </c>
      <c r="B2" s="6">
        <v>4800</v>
      </c>
      <c r="C2" s="7" t="e">
        <f>SUM(#REF!)</f>
        <v>#REF!</v>
      </c>
      <c r="D2" s="7" t="e">
        <f>AVERAGE(#REF!)</f>
        <v>#REF!</v>
      </c>
      <c r="E2" s="19" t="e">
        <f>_xlfn.CONCAT(#REF!," ",#REF!)</f>
        <v>#REF!</v>
      </c>
    </row>
    <row r="3" spans="1:5" x14ac:dyDescent="0.25">
      <c r="A3" s="48">
        <v>5900</v>
      </c>
      <c r="B3" s="6">
        <v>6100</v>
      </c>
      <c r="C3" s="7" t="e">
        <f t="shared" ref="C3" si="0">SUM(#REF!)</f>
        <v>#REF!</v>
      </c>
      <c r="D3" s="7" t="e">
        <f t="shared" ref="D3" si="1">AVERAGE(#REF!)</f>
        <v>#REF!</v>
      </c>
      <c r="E3" s="19" t="e">
        <f t="shared" ref="E3" si="2">_xlfn.CONCAT(#REF!," ",#REF!)</f>
        <v>#REF!</v>
      </c>
    </row>
    <row r="4" spans="1:5" x14ac:dyDescent="0.25">
      <c r="A4" s="48">
        <v>4700</v>
      </c>
      <c r="B4" s="6">
        <v>4600</v>
      </c>
      <c r="C4" s="7" t="e">
        <f t="shared" ref="C4" si="3">SUM(#REF!)</f>
        <v>#REF!</v>
      </c>
      <c r="D4" s="7" t="e">
        <f t="shared" ref="D4" si="4">AVERAGE(#REF!)</f>
        <v>#REF!</v>
      </c>
      <c r="E4" s="19" t="e">
        <f t="shared" ref="E4" si="5">_xlfn.CONCAT(#REF!," ",#REF!)</f>
        <v>#REF!</v>
      </c>
    </row>
    <row r="5" spans="1:5" x14ac:dyDescent="0.25">
      <c r="A5" s="48">
        <v>6900</v>
      </c>
      <c r="B5" s="6">
        <v>7100</v>
      </c>
      <c r="C5" s="7" t="e">
        <f t="shared" ref="C5" si="6">SUM(#REF!)</f>
        <v>#REF!</v>
      </c>
      <c r="D5" s="7" t="e">
        <f t="shared" ref="D5" si="7">AVERAGE(#REF!)</f>
        <v>#REF!</v>
      </c>
      <c r="E5" s="19" t="e">
        <f t="shared" ref="E5" si="8">_xlfn.CONCAT(#REF!," ",#REF!)</f>
        <v>#REF!</v>
      </c>
    </row>
    <row r="6" spans="1:5" x14ac:dyDescent="0.25">
      <c r="A6" s="53">
        <v>5300</v>
      </c>
      <c r="B6" s="54">
        <v>5600</v>
      </c>
      <c r="C6" s="17" t="e">
        <f t="shared" ref="C6" si="9">SUM(#REF!)</f>
        <v>#REF!</v>
      </c>
      <c r="D6" s="55" t="e">
        <f t="shared" ref="D6" si="10">AVERAGE(#REF!)</f>
        <v>#REF!</v>
      </c>
      <c r="E6" s="22" t="e">
        <f t="shared" ref="E6" si="11">_xlfn.CONCAT(#REF!," ",#REF!)</f>
        <v>#REF!</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B7-64FB-4F8D-9231-A9A927B0623A}">
  <sheetPr>
    <tabColor theme="8" tint="-0.249977111117893"/>
  </sheetPr>
  <dimension ref="A1:J16"/>
  <sheetViews>
    <sheetView workbookViewId="0">
      <selection activeCell="J20" sqref="J20"/>
    </sheetView>
  </sheetViews>
  <sheetFormatPr defaultRowHeight="15" x14ac:dyDescent="0.25"/>
  <cols>
    <col min="2" max="2" width="10.5703125" bestFit="1" customWidth="1"/>
    <col min="3" max="3" width="10.140625" bestFit="1" customWidth="1"/>
    <col min="4" max="4" width="17.28515625" bestFit="1" customWidth="1"/>
    <col min="5" max="5" width="11.7109375" bestFit="1" customWidth="1"/>
    <col min="6" max="6" width="20.28515625" bestFit="1" customWidth="1"/>
    <col min="7" max="7" width="7.85546875" bestFit="1" customWidth="1"/>
    <col min="8" max="8" width="10.7109375" bestFit="1" customWidth="1"/>
    <col min="9" max="9" width="9.5703125" bestFit="1" customWidth="1"/>
    <col min="10" max="10" width="14.5703125" bestFit="1" customWidth="1"/>
  </cols>
  <sheetData>
    <row r="1" spans="1:10" x14ac:dyDescent="0.25">
      <c r="A1" s="3" t="s">
        <v>0</v>
      </c>
      <c r="B1" s="4" t="s">
        <v>8</v>
      </c>
      <c r="C1" s="4" t="s">
        <v>1</v>
      </c>
      <c r="D1" s="5" t="s">
        <v>2</v>
      </c>
      <c r="E1" s="3" t="s">
        <v>3</v>
      </c>
      <c r="F1" s="3" t="s">
        <v>4</v>
      </c>
      <c r="G1" s="3" t="s">
        <v>5</v>
      </c>
      <c r="H1" s="4" t="s">
        <v>6</v>
      </c>
      <c r="I1" s="4" t="s">
        <v>19</v>
      </c>
      <c r="J1" s="3" t="s">
        <v>7</v>
      </c>
    </row>
    <row r="2" spans="1:10" x14ac:dyDescent="0.25">
      <c r="A2" s="6">
        <v>4</v>
      </c>
      <c r="B2" s="7" t="s">
        <v>15</v>
      </c>
      <c r="C2" s="7" t="s">
        <v>16</v>
      </c>
      <c r="D2" s="8">
        <v>44053</v>
      </c>
      <c r="E2" s="6">
        <v>7000</v>
      </c>
      <c r="F2" s="6">
        <v>6900</v>
      </c>
      <c r="G2" s="6">
        <v>7100</v>
      </c>
      <c r="H2" s="7">
        <f>SUM(E2:G2)</f>
        <v>21000</v>
      </c>
      <c r="I2" s="7">
        <f>AVERAGE(E2:G2)</f>
        <v>7000</v>
      </c>
      <c r="J2" s="7" t="str">
        <f>_xlfn.CONCAT(B2," ",C2)</f>
        <v>Rohan Gupta</v>
      </c>
    </row>
    <row r="3" spans="1:10" x14ac:dyDescent="0.25">
      <c r="A3" s="6">
        <v>2</v>
      </c>
      <c r="B3" s="7" t="s">
        <v>11</v>
      </c>
      <c r="C3" s="7" t="s">
        <v>12</v>
      </c>
      <c r="D3" s="8">
        <v>44977</v>
      </c>
      <c r="E3" s="6">
        <v>6000</v>
      </c>
      <c r="F3" s="6">
        <v>5900</v>
      </c>
      <c r="G3" s="6">
        <v>6100</v>
      </c>
      <c r="H3" s="7">
        <f>SUM(E3:G3)</f>
        <v>18000</v>
      </c>
      <c r="I3" s="7">
        <f>AVERAGE(E3:G3)</f>
        <v>6000</v>
      </c>
      <c r="J3" s="7" t="str">
        <f>_xlfn.CONCAT(B3," ",C3)</f>
        <v>Priya Verma</v>
      </c>
    </row>
    <row r="4" spans="1:10" x14ac:dyDescent="0.25">
      <c r="A4" s="6">
        <v>5</v>
      </c>
      <c r="B4" s="7" t="s">
        <v>17</v>
      </c>
      <c r="C4" s="7" t="s">
        <v>18</v>
      </c>
      <c r="D4" s="8">
        <v>43580</v>
      </c>
      <c r="E4" s="6">
        <v>5500</v>
      </c>
      <c r="F4" s="6">
        <v>5300</v>
      </c>
      <c r="G4" s="6">
        <v>5600</v>
      </c>
      <c r="H4" s="7">
        <f>SUM(E4:G4)</f>
        <v>16400</v>
      </c>
      <c r="I4" s="9">
        <f>AVERAGE(E4:G4)</f>
        <v>5466.666666666667</v>
      </c>
      <c r="J4" s="7" t="str">
        <f>_xlfn.CONCAT(B4," ",C4)</f>
        <v>Kavya Desai</v>
      </c>
    </row>
    <row r="5" spans="1:10" x14ac:dyDescent="0.25">
      <c r="A5" s="6">
        <v>1</v>
      </c>
      <c r="B5" s="7" t="s">
        <v>9</v>
      </c>
      <c r="C5" s="7" t="s">
        <v>10</v>
      </c>
      <c r="D5" s="8">
        <v>44576</v>
      </c>
      <c r="E5" s="6">
        <v>5000</v>
      </c>
      <c r="F5" s="6">
        <v>5200</v>
      </c>
      <c r="G5" s="6">
        <v>4800</v>
      </c>
      <c r="H5" s="7">
        <f>SUM(E5:G5)</f>
        <v>15000</v>
      </c>
      <c r="I5" s="7">
        <f>AVERAGE(E5:G5)</f>
        <v>5000</v>
      </c>
      <c r="J5" s="7" t="str">
        <f>_xlfn.CONCAT(B5," ",C5)</f>
        <v>Ankit Sharma</v>
      </c>
    </row>
    <row r="6" spans="1:10" x14ac:dyDescent="0.25">
      <c r="A6" s="6">
        <v>3</v>
      </c>
      <c r="B6" s="7" t="s">
        <v>13</v>
      </c>
      <c r="C6" s="7" t="s">
        <v>14</v>
      </c>
      <c r="D6" s="8">
        <v>44535</v>
      </c>
      <c r="E6" s="6">
        <v>4500</v>
      </c>
      <c r="F6" s="6">
        <v>4700</v>
      </c>
      <c r="G6" s="6">
        <v>4600</v>
      </c>
      <c r="H6" s="7">
        <f>SUM(E6:G6)</f>
        <v>13800</v>
      </c>
      <c r="I6" s="7">
        <f>AVERAGE(E6:G6)</f>
        <v>4600</v>
      </c>
      <c r="J6" s="7" t="str">
        <f>_xlfn.CONCAT(B6," ",C6)</f>
        <v>Meera Iyer</v>
      </c>
    </row>
    <row r="13" spans="1:10" x14ac:dyDescent="0.25">
      <c r="E13" s="10"/>
      <c r="F13" s="10" t="s">
        <v>20</v>
      </c>
      <c r="G13" s="10"/>
    </row>
    <row r="14" spans="1:10" x14ac:dyDescent="0.25">
      <c r="E14" s="10"/>
      <c r="F14" s="10" t="s">
        <v>21</v>
      </c>
      <c r="G14" s="10"/>
    </row>
    <row r="15" spans="1:10" x14ac:dyDescent="0.25">
      <c r="E15" s="10"/>
      <c r="F15" s="10" t="s">
        <v>22</v>
      </c>
      <c r="G15" s="10"/>
    </row>
    <row r="16" spans="1:10" x14ac:dyDescent="0.25">
      <c r="E16" s="10"/>
      <c r="F16" s="10" t="s">
        <v>23</v>
      </c>
      <c r="G16" s="10"/>
    </row>
  </sheetData>
  <sortState xmlns:xlrd2="http://schemas.microsoft.com/office/spreadsheetml/2017/richdata2" ref="A2:J6">
    <sortCondition descending="1" ref="H2:H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2E90-5763-4FAD-8E74-106666A3A0AE}">
  <sheetPr>
    <tabColor theme="8" tint="-0.249977111117893"/>
  </sheetPr>
  <dimension ref="A1:K15"/>
  <sheetViews>
    <sheetView workbookViewId="0">
      <selection activeCell="H12" sqref="H12"/>
    </sheetView>
  </sheetViews>
  <sheetFormatPr defaultRowHeight="15" x14ac:dyDescent="0.25"/>
  <cols>
    <col min="1" max="1" width="5" bestFit="1" customWidth="1"/>
    <col min="2" max="2" width="10.5703125" bestFit="1" customWidth="1"/>
    <col min="3" max="3" width="10.140625" bestFit="1" customWidth="1"/>
    <col min="4" max="4" width="17.28515625" bestFit="1" customWidth="1"/>
    <col min="5" max="5" width="7.140625" bestFit="1" customWidth="1"/>
    <col min="6" max="6" width="7.5703125" bestFit="1" customWidth="1"/>
    <col min="7" max="7" width="7.85546875" bestFit="1" customWidth="1"/>
    <col min="8" max="8" width="8.42578125" bestFit="1" customWidth="1"/>
    <col min="9" max="9" width="7.28515625" bestFit="1" customWidth="1"/>
    <col min="10" max="10" width="12.7109375" bestFit="1" customWidth="1"/>
    <col min="11" max="11" width="24" bestFit="1" customWidth="1"/>
  </cols>
  <sheetData>
    <row r="1" spans="1:11" x14ac:dyDescent="0.25">
      <c r="A1" s="3" t="s">
        <v>0</v>
      </c>
      <c r="B1" s="4" t="s">
        <v>8</v>
      </c>
      <c r="C1" s="4" t="s">
        <v>1</v>
      </c>
      <c r="D1" s="5" t="s">
        <v>2</v>
      </c>
      <c r="E1" s="3" t="s">
        <v>3</v>
      </c>
      <c r="F1" s="3" t="s">
        <v>4</v>
      </c>
      <c r="G1" s="3" t="s">
        <v>5</v>
      </c>
      <c r="H1" s="4" t="s">
        <v>6</v>
      </c>
      <c r="I1" s="4" t="s">
        <v>19</v>
      </c>
      <c r="J1" s="3" t="s">
        <v>7</v>
      </c>
    </row>
    <row r="2" spans="1:11" x14ac:dyDescent="0.25">
      <c r="A2" s="6">
        <v>1</v>
      </c>
      <c r="B2" s="7" t="s">
        <v>9</v>
      </c>
      <c r="C2" s="7" t="s">
        <v>10</v>
      </c>
      <c r="D2" s="8">
        <v>44576</v>
      </c>
      <c r="E2" s="6">
        <v>5000</v>
      </c>
      <c r="F2" s="6">
        <v>5200</v>
      </c>
      <c r="G2" s="6">
        <v>4800</v>
      </c>
      <c r="H2" s="7">
        <f>SUM(E2:G2)</f>
        <v>15000</v>
      </c>
      <c r="I2" s="7">
        <f>AVERAGE(E2:G2)</f>
        <v>5000</v>
      </c>
      <c r="J2" s="7" t="str">
        <f>_xlfn.CONCAT(B2," ",C2)</f>
        <v>Ankit Sharma</v>
      </c>
    </row>
    <row r="3" spans="1:11" x14ac:dyDescent="0.25">
      <c r="A3" s="6">
        <v>2</v>
      </c>
      <c r="B3" s="7" t="s">
        <v>11</v>
      </c>
      <c r="C3" s="7" t="s">
        <v>12</v>
      </c>
      <c r="D3" s="8">
        <v>44977</v>
      </c>
      <c r="E3" s="6">
        <v>6000</v>
      </c>
      <c r="F3" s="6">
        <v>5900</v>
      </c>
      <c r="G3" s="6">
        <v>6100</v>
      </c>
      <c r="H3" s="7">
        <f>SUM(E3:G3)</f>
        <v>18000</v>
      </c>
      <c r="I3" s="7">
        <f>AVERAGE(E3:G3)</f>
        <v>6000</v>
      </c>
      <c r="J3" s="7" t="str">
        <f>_xlfn.CONCAT(B3," ",C3)</f>
        <v>Priya Verma</v>
      </c>
    </row>
    <row r="4" spans="1:11" x14ac:dyDescent="0.25">
      <c r="A4" s="6">
        <v>3</v>
      </c>
      <c r="B4" s="7" t="s">
        <v>13</v>
      </c>
      <c r="C4" s="7" t="s">
        <v>14</v>
      </c>
      <c r="D4" s="8">
        <v>44535</v>
      </c>
      <c r="E4" s="6">
        <v>4500</v>
      </c>
      <c r="F4" s="6">
        <v>4700</v>
      </c>
      <c r="G4" s="6">
        <v>4600</v>
      </c>
      <c r="H4" s="7">
        <f>SUM(E4:G4)</f>
        <v>13800</v>
      </c>
      <c r="I4" s="7">
        <f>AVERAGE(E4:G4)</f>
        <v>4600</v>
      </c>
      <c r="J4" s="7" t="str">
        <f>_xlfn.CONCAT(B4," ",C4)</f>
        <v>Meera Iyer</v>
      </c>
    </row>
    <row r="5" spans="1:11" x14ac:dyDescent="0.25">
      <c r="A5" s="6">
        <v>4</v>
      </c>
      <c r="B5" s="7" t="s">
        <v>15</v>
      </c>
      <c r="C5" s="7" t="s">
        <v>16</v>
      </c>
      <c r="D5" s="8">
        <v>44053</v>
      </c>
      <c r="E5" s="6">
        <v>7000</v>
      </c>
      <c r="F5" s="6">
        <v>6900</v>
      </c>
      <c r="G5" s="6">
        <v>7100</v>
      </c>
      <c r="H5" s="7">
        <f>SUM(E5:G5)</f>
        <v>21000</v>
      </c>
      <c r="I5" s="7">
        <f>AVERAGE(E5:G5)</f>
        <v>7000</v>
      </c>
      <c r="J5" s="7" t="str">
        <f>_xlfn.CONCAT(B5," ",C5)</f>
        <v>Rohan Gupta</v>
      </c>
    </row>
    <row r="6" spans="1:11" x14ac:dyDescent="0.25">
      <c r="A6" s="6">
        <v>5</v>
      </c>
      <c r="B6" s="7" t="s">
        <v>17</v>
      </c>
      <c r="C6" s="7" t="s">
        <v>18</v>
      </c>
      <c r="D6" s="8">
        <v>43580</v>
      </c>
      <c r="E6" s="6">
        <v>5500</v>
      </c>
      <c r="F6" s="6">
        <v>5300</v>
      </c>
      <c r="G6" s="6">
        <v>5600</v>
      </c>
      <c r="H6" s="7">
        <f>SUM(E6:G6)</f>
        <v>16400</v>
      </c>
      <c r="I6" s="9">
        <f>AVERAGE(E6:G6)</f>
        <v>5466.666666666667</v>
      </c>
      <c r="J6" s="7" t="str">
        <f>_xlfn.CONCAT(B6," ",C6)</f>
        <v>Kavya Desai</v>
      </c>
    </row>
    <row r="13" spans="1:11" x14ac:dyDescent="0.25">
      <c r="K13" s="1" t="s">
        <v>24</v>
      </c>
    </row>
    <row r="14" spans="1:11" x14ac:dyDescent="0.25">
      <c r="K14" t="s">
        <v>25</v>
      </c>
    </row>
    <row r="15" spans="1:11" x14ac:dyDescent="0.25">
      <c r="K15" t="s">
        <v>26</v>
      </c>
    </row>
  </sheetData>
  <conditionalFormatting sqref="H1:H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1365E-5944-4C03-9A33-A69C0C8D7BE3}">
  <sheetPr>
    <tabColor theme="8" tint="-0.249977111117893"/>
  </sheetPr>
  <dimension ref="A1:L15"/>
  <sheetViews>
    <sheetView workbookViewId="0">
      <selection activeCell="I24" sqref="I24"/>
    </sheetView>
  </sheetViews>
  <sheetFormatPr defaultRowHeight="15" x14ac:dyDescent="0.25"/>
  <cols>
    <col min="4" max="4" width="17.28515625" bestFit="1" customWidth="1"/>
    <col min="7" max="7" width="7.85546875" bestFit="1" customWidth="1"/>
    <col min="9" max="9" width="7.28515625" bestFit="1" customWidth="1"/>
    <col min="10" max="10" width="12.7109375" bestFit="1" customWidth="1"/>
    <col min="12" max="12" width="38.7109375" style="1" bestFit="1" customWidth="1"/>
  </cols>
  <sheetData>
    <row r="1" spans="1:12" x14ac:dyDescent="0.25">
      <c r="A1" s="3" t="s">
        <v>0</v>
      </c>
      <c r="B1" s="4" t="s">
        <v>8</v>
      </c>
      <c r="C1" s="4" t="s">
        <v>1</v>
      </c>
      <c r="D1" s="5" t="s">
        <v>2</v>
      </c>
      <c r="E1" s="3" t="s">
        <v>3</v>
      </c>
      <c r="F1" s="3" t="s">
        <v>4</v>
      </c>
      <c r="G1" s="3" t="s">
        <v>5</v>
      </c>
      <c r="H1" s="4" t="s">
        <v>6</v>
      </c>
      <c r="I1" s="4" t="s">
        <v>19</v>
      </c>
      <c r="J1" s="3" t="s">
        <v>7</v>
      </c>
    </row>
    <row r="2" spans="1:12" x14ac:dyDescent="0.25">
      <c r="A2" s="6">
        <v>1</v>
      </c>
      <c r="B2" s="7" t="s">
        <v>9</v>
      </c>
      <c r="C2" s="7" t="s">
        <v>10</v>
      </c>
      <c r="D2" s="8">
        <v>44576</v>
      </c>
      <c r="E2" s="6">
        <v>5000</v>
      </c>
      <c r="F2" s="6">
        <v>5200</v>
      </c>
      <c r="G2" s="6">
        <v>4800</v>
      </c>
      <c r="H2" s="7">
        <f>SUM(E2:G2)</f>
        <v>15000</v>
      </c>
      <c r="I2" s="7">
        <f>AVERAGE(E2:G2)</f>
        <v>5000</v>
      </c>
      <c r="J2" s="7" t="str">
        <f>_xlfn.CONCAT(B2," ",C2)</f>
        <v>Ankit Sharma</v>
      </c>
    </row>
    <row r="3" spans="1:12" x14ac:dyDescent="0.25">
      <c r="A3" s="6">
        <v>2</v>
      </c>
      <c r="B3" s="7" t="s">
        <v>11</v>
      </c>
      <c r="C3" s="7" t="s">
        <v>12</v>
      </c>
      <c r="D3" s="8">
        <v>44977</v>
      </c>
      <c r="E3" s="6">
        <v>6000</v>
      </c>
      <c r="F3" s="6">
        <v>5900</v>
      </c>
      <c r="G3" s="6">
        <v>6100</v>
      </c>
      <c r="H3" s="7">
        <f>SUM(E3:G3)</f>
        <v>18000</v>
      </c>
      <c r="I3" s="7">
        <f>AVERAGE(E3:G3)</f>
        <v>6000</v>
      </c>
      <c r="J3" s="7" t="str">
        <f>_xlfn.CONCAT(B3," ",C3)</f>
        <v>Priya Verma</v>
      </c>
    </row>
    <row r="4" spans="1:12" x14ac:dyDescent="0.25">
      <c r="A4" s="6">
        <v>3</v>
      </c>
      <c r="B4" s="7" t="s">
        <v>13</v>
      </c>
      <c r="C4" s="7" t="s">
        <v>14</v>
      </c>
      <c r="D4" s="8">
        <v>44535</v>
      </c>
      <c r="E4" s="6">
        <v>4500</v>
      </c>
      <c r="F4" s="6">
        <v>4700</v>
      </c>
      <c r="G4" s="6">
        <v>4600</v>
      </c>
      <c r="H4" s="7">
        <f>SUM(E4:G4)</f>
        <v>13800</v>
      </c>
      <c r="I4" s="7">
        <f>AVERAGE(E4:G4)</f>
        <v>4600</v>
      </c>
      <c r="J4" s="7" t="str">
        <f>_xlfn.CONCAT(B4," ",C4)</f>
        <v>Meera Iyer</v>
      </c>
    </row>
    <row r="5" spans="1:12" x14ac:dyDescent="0.25">
      <c r="A5" s="6">
        <v>4</v>
      </c>
      <c r="B5" s="7" t="s">
        <v>15</v>
      </c>
      <c r="C5" s="7" t="s">
        <v>16</v>
      </c>
      <c r="D5" s="8">
        <v>44053</v>
      </c>
      <c r="E5" s="6">
        <v>7000</v>
      </c>
      <c r="F5" s="6">
        <v>6900</v>
      </c>
      <c r="G5" s="6">
        <v>7100</v>
      </c>
      <c r="H5" s="7">
        <f>SUM(E5:G5)</f>
        <v>21000</v>
      </c>
      <c r="I5" s="7">
        <f>AVERAGE(E5:G5)</f>
        <v>7000</v>
      </c>
      <c r="J5" s="7" t="str">
        <f>_xlfn.CONCAT(B5," ",C5)</f>
        <v>Rohan Gupta</v>
      </c>
    </row>
    <row r="6" spans="1:12" x14ac:dyDescent="0.25">
      <c r="A6" s="6">
        <v>5</v>
      </c>
      <c r="B6" s="7" t="s">
        <v>17</v>
      </c>
      <c r="C6" s="7" t="s">
        <v>18</v>
      </c>
      <c r="D6" s="8">
        <v>43580</v>
      </c>
      <c r="E6" s="6">
        <v>5500</v>
      </c>
      <c r="F6" s="6">
        <v>5300</v>
      </c>
      <c r="G6" s="6">
        <v>5600</v>
      </c>
      <c r="H6" s="7">
        <f>SUM(E6:G6)</f>
        <v>16400</v>
      </c>
      <c r="I6" s="9">
        <f>AVERAGE(E6:G6)</f>
        <v>5466.666666666667</v>
      </c>
      <c r="J6" s="7" t="str">
        <f>_xlfn.CONCAT(B6," ",C6)</f>
        <v>Kavya Desai</v>
      </c>
    </row>
    <row r="11" spans="1:12" x14ac:dyDescent="0.25">
      <c r="L11" s="11" t="s">
        <v>27</v>
      </c>
    </row>
    <row r="12" spans="1:12" x14ac:dyDescent="0.25">
      <c r="L12" s="1" t="s">
        <v>28</v>
      </c>
    </row>
    <row r="13" spans="1:12" x14ac:dyDescent="0.25">
      <c r="L13" s="11" t="s">
        <v>29</v>
      </c>
    </row>
    <row r="14" spans="1:12" x14ac:dyDescent="0.25">
      <c r="L14" s="1" t="s">
        <v>30</v>
      </c>
    </row>
    <row r="15" spans="1:12" x14ac:dyDescent="0.25">
      <c r="L15" s="1" t="s">
        <v>31</v>
      </c>
    </row>
  </sheetData>
  <conditionalFormatting sqref="H1">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A17DD-900F-450E-A990-82C8A43F764A}">
  <sheetPr>
    <tabColor theme="4" tint="0.39997558519241921"/>
  </sheetPr>
  <dimension ref="A1:K15"/>
  <sheetViews>
    <sheetView workbookViewId="0">
      <selection activeCell="H26" sqref="H26"/>
    </sheetView>
  </sheetViews>
  <sheetFormatPr defaultRowHeight="15" x14ac:dyDescent="0.25"/>
  <cols>
    <col min="4" max="4" width="17.28515625" bestFit="1" customWidth="1"/>
    <col min="5" max="5" width="7.140625" bestFit="1" customWidth="1"/>
    <col min="6" max="6" width="7.5703125" bestFit="1" customWidth="1"/>
    <col min="7" max="7" width="7.85546875" bestFit="1" customWidth="1"/>
    <col min="8" max="8" width="8.42578125" bestFit="1" customWidth="1"/>
    <col min="10" max="10" width="12.7109375" bestFit="1" customWidth="1"/>
    <col min="11" max="11" width="40.28515625" style="1" bestFit="1" customWidth="1"/>
  </cols>
  <sheetData>
    <row r="1" spans="1:11" x14ac:dyDescent="0.25">
      <c r="A1" s="3" t="s">
        <v>0</v>
      </c>
      <c r="B1" s="4" t="s">
        <v>8</v>
      </c>
      <c r="C1" s="4" t="s">
        <v>1</v>
      </c>
      <c r="D1" s="5" t="s">
        <v>2</v>
      </c>
      <c r="E1" s="3" t="s">
        <v>3</v>
      </c>
      <c r="F1" s="3" t="s">
        <v>4</v>
      </c>
      <c r="G1" s="3" t="s">
        <v>5</v>
      </c>
      <c r="H1" s="4" t="s">
        <v>6</v>
      </c>
      <c r="I1" s="4" t="s">
        <v>19</v>
      </c>
      <c r="J1" s="3" t="s">
        <v>7</v>
      </c>
    </row>
    <row r="2" spans="1:11" x14ac:dyDescent="0.25">
      <c r="A2" s="6">
        <v>1</v>
      </c>
      <c r="B2" s="7" t="s">
        <v>9</v>
      </c>
      <c r="C2" s="7" t="s">
        <v>10</v>
      </c>
      <c r="D2" s="8">
        <v>44576</v>
      </c>
      <c r="E2" s="6">
        <v>5000</v>
      </c>
      <c r="F2" s="6">
        <v>5200</v>
      </c>
      <c r="G2" s="6">
        <v>4800</v>
      </c>
      <c r="H2" s="7">
        <f>SUM(E2:G2)</f>
        <v>15000</v>
      </c>
      <c r="I2" s="7">
        <f>AVERAGE(E2:G2)</f>
        <v>5000</v>
      </c>
      <c r="J2" s="7" t="str">
        <f>_xlfn.CONCAT(B2," ",C2)</f>
        <v>Ankit Sharma</v>
      </c>
    </row>
    <row r="3" spans="1:11" x14ac:dyDescent="0.25">
      <c r="A3" s="6">
        <v>2</v>
      </c>
      <c r="B3" s="7" t="s">
        <v>11</v>
      </c>
      <c r="C3" s="7" t="s">
        <v>12</v>
      </c>
      <c r="D3" s="8">
        <v>44977</v>
      </c>
      <c r="E3" s="6">
        <v>6000</v>
      </c>
      <c r="F3" s="6">
        <v>5900</v>
      </c>
      <c r="G3" s="6">
        <v>6100</v>
      </c>
      <c r="H3" s="7">
        <f>SUM(E3:G3)</f>
        <v>18000</v>
      </c>
      <c r="I3" s="7">
        <f>AVERAGE(E3:G3)</f>
        <v>6000</v>
      </c>
      <c r="J3" s="7" t="str">
        <f>_xlfn.CONCAT(B3," ",C3)</f>
        <v>Priya Verma</v>
      </c>
    </row>
    <row r="4" spans="1:11" x14ac:dyDescent="0.25">
      <c r="A4" s="6">
        <v>3</v>
      </c>
      <c r="B4" s="7" t="s">
        <v>13</v>
      </c>
      <c r="C4" s="7" t="s">
        <v>14</v>
      </c>
      <c r="D4" s="8">
        <v>44535</v>
      </c>
      <c r="E4" s="6">
        <v>4500</v>
      </c>
      <c r="F4" s="6">
        <v>4700</v>
      </c>
      <c r="G4" s="6">
        <v>4600</v>
      </c>
      <c r="H4" s="7">
        <f>SUM(E4:G4)</f>
        <v>13800</v>
      </c>
      <c r="I4" s="7">
        <f>AVERAGE(E4:G4)</f>
        <v>4600</v>
      </c>
      <c r="J4" s="7" t="str">
        <f>_xlfn.CONCAT(B4," ",C4)</f>
        <v>Meera Iyer</v>
      </c>
    </row>
    <row r="5" spans="1:11" x14ac:dyDescent="0.25">
      <c r="A5" s="6">
        <v>4</v>
      </c>
      <c r="B5" s="7" t="s">
        <v>15</v>
      </c>
      <c r="C5" s="7" t="s">
        <v>16</v>
      </c>
      <c r="D5" s="8">
        <v>44053</v>
      </c>
      <c r="E5" s="6">
        <v>7000</v>
      </c>
      <c r="F5" s="6">
        <v>6900</v>
      </c>
      <c r="G5" s="6">
        <v>7100</v>
      </c>
      <c r="H5" s="7">
        <f>SUM(E5:G5)</f>
        <v>21000</v>
      </c>
      <c r="I5" s="7">
        <f>AVERAGE(E5:G5)</f>
        <v>7000</v>
      </c>
      <c r="J5" s="7" t="str">
        <f>_xlfn.CONCAT(B5," ",C5)</f>
        <v>Rohan Gupta</v>
      </c>
    </row>
    <row r="6" spans="1:11" x14ac:dyDescent="0.25">
      <c r="A6" s="6">
        <v>5</v>
      </c>
      <c r="B6" s="7" t="s">
        <v>17</v>
      </c>
      <c r="C6" s="7" t="s">
        <v>18</v>
      </c>
      <c r="D6" s="8">
        <v>43580</v>
      </c>
      <c r="E6" s="6">
        <v>5500</v>
      </c>
      <c r="F6" s="6">
        <v>5300</v>
      </c>
      <c r="G6" s="6">
        <v>5600</v>
      </c>
      <c r="H6" s="7">
        <f>SUM(E6:G6)</f>
        <v>16400</v>
      </c>
      <c r="I6" s="9">
        <f>AVERAGE(E6:G6)</f>
        <v>5466.666666666667</v>
      </c>
      <c r="J6" s="7" t="str">
        <f>_xlfn.CONCAT(B6," ",C6)</f>
        <v>Kavya Desai</v>
      </c>
    </row>
    <row r="7" spans="1:11" x14ac:dyDescent="0.25">
      <c r="A7" s="6">
        <v>3</v>
      </c>
      <c r="B7" s="7" t="s">
        <v>13</v>
      </c>
      <c r="C7" s="7" t="s">
        <v>14</v>
      </c>
      <c r="D7" s="8">
        <v>44535</v>
      </c>
      <c r="E7" s="6">
        <v>4500</v>
      </c>
      <c r="F7" s="6">
        <v>4700</v>
      </c>
      <c r="G7" s="6">
        <v>4600</v>
      </c>
      <c r="H7" s="7">
        <f t="shared" ref="H7" si="0">SUM(E7:G7)</f>
        <v>13800</v>
      </c>
      <c r="I7" s="7">
        <f t="shared" ref="I7" si="1">AVERAGE(E7:G7)</f>
        <v>4600</v>
      </c>
      <c r="J7" s="7" t="str">
        <f t="shared" ref="J7" si="2">_xlfn.CONCAT(B7," ",C7)</f>
        <v>Meera Iyer</v>
      </c>
    </row>
    <row r="10" spans="1:11" x14ac:dyDescent="0.25">
      <c r="K10" s="11" t="s">
        <v>32</v>
      </c>
    </row>
    <row r="11" spans="1:11" x14ac:dyDescent="0.25">
      <c r="K11" s="11" t="s">
        <v>33</v>
      </c>
    </row>
    <row r="12" spans="1:11" x14ac:dyDescent="0.25">
      <c r="K12" s="1" t="s">
        <v>34</v>
      </c>
    </row>
    <row r="14" spans="1:11" x14ac:dyDescent="0.25">
      <c r="K14" s="11" t="s">
        <v>35</v>
      </c>
    </row>
    <row r="15" spans="1:11" x14ac:dyDescent="0.25">
      <c r="K15" s="1" t="s">
        <v>36</v>
      </c>
    </row>
  </sheetData>
  <conditionalFormatting sqref="H1">
    <cfRule type="colorScale" priority="3">
      <colorScale>
        <cfvo type="min"/>
        <cfvo type="percentile" val="50"/>
        <cfvo type="max"/>
        <color rgb="FFF8696B"/>
        <color rgb="FFFFEB84"/>
        <color rgb="FF63BE7B"/>
      </colorScale>
    </cfRule>
  </conditionalFormatting>
  <conditionalFormatting sqref="J1:J1048576">
    <cfRule type="duplicateValues" dxfId="22" priority="2"/>
  </conditionalFormatting>
  <conditionalFormatting sqref="A1:J7">
    <cfRule type="duplicateValues" dxfId="21"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B73C-4803-4A8D-B702-177AF5A3876B}">
  <sheetPr>
    <tabColor theme="4" tint="0.39997558519241921"/>
  </sheetPr>
  <dimension ref="A1:J11"/>
  <sheetViews>
    <sheetView workbookViewId="0">
      <selection sqref="A1:J3"/>
    </sheetView>
  </sheetViews>
  <sheetFormatPr defaultRowHeight="15" x14ac:dyDescent="0.25"/>
  <cols>
    <col min="1" max="1" width="5" bestFit="1" customWidth="1"/>
    <col min="2" max="2" width="10.5703125" bestFit="1" customWidth="1"/>
    <col min="3" max="3" width="10.140625" bestFit="1" customWidth="1"/>
    <col min="4" max="4" width="17.28515625" bestFit="1" customWidth="1"/>
    <col min="8" max="8" width="8.42578125" bestFit="1" customWidth="1"/>
    <col min="9" max="9" width="7.28515625" bestFit="1" customWidth="1"/>
    <col min="10" max="10" width="12.7109375" bestFit="1" customWidth="1"/>
  </cols>
  <sheetData>
    <row r="1" spans="1:10" x14ac:dyDescent="0.25">
      <c r="A1" s="66" t="s">
        <v>37</v>
      </c>
      <c r="B1" s="67"/>
      <c r="C1" s="67"/>
      <c r="D1" s="67"/>
      <c r="E1" s="67"/>
      <c r="F1" s="67"/>
      <c r="G1" s="67"/>
      <c r="H1" s="67"/>
      <c r="I1" s="67"/>
      <c r="J1" s="68"/>
    </row>
    <row r="2" spans="1:10" x14ac:dyDescent="0.25">
      <c r="A2" s="69"/>
      <c r="B2" s="70"/>
      <c r="C2" s="70"/>
      <c r="D2" s="70"/>
      <c r="E2" s="70"/>
      <c r="F2" s="70"/>
      <c r="G2" s="70"/>
      <c r="H2" s="70"/>
      <c r="I2" s="70"/>
      <c r="J2" s="71"/>
    </row>
    <row r="3" spans="1:10" ht="15.75" thickBot="1" x14ac:dyDescent="0.3">
      <c r="A3" s="72"/>
      <c r="B3" s="73"/>
      <c r="C3" s="73"/>
      <c r="D3" s="73"/>
      <c r="E3" s="73"/>
      <c r="F3" s="73"/>
      <c r="G3" s="73"/>
      <c r="H3" s="73"/>
      <c r="I3" s="73"/>
      <c r="J3" s="74"/>
    </row>
    <row r="5" spans="1:10" x14ac:dyDescent="0.25">
      <c r="A5" s="3" t="s">
        <v>0</v>
      </c>
      <c r="B5" s="4" t="s">
        <v>8</v>
      </c>
      <c r="C5" s="4" t="s">
        <v>1</v>
      </c>
      <c r="D5" s="5" t="s">
        <v>2</v>
      </c>
      <c r="E5" s="3" t="s">
        <v>3</v>
      </c>
      <c r="F5" s="3" t="s">
        <v>4</v>
      </c>
      <c r="G5" s="3" t="s">
        <v>5</v>
      </c>
      <c r="H5" s="4" t="s">
        <v>6</v>
      </c>
      <c r="I5" s="4" t="s">
        <v>19</v>
      </c>
      <c r="J5" s="3" t="s">
        <v>7</v>
      </c>
    </row>
    <row r="6" spans="1:10" x14ac:dyDescent="0.25">
      <c r="A6" s="6">
        <v>1</v>
      </c>
      <c r="B6" s="7" t="s">
        <v>9</v>
      </c>
      <c r="C6" s="7" t="s">
        <v>10</v>
      </c>
      <c r="D6" s="8">
        <v>44576</v>
      </c>
      <c r="E6" s="6">
        <v>5000</v>
      </c>
      <c r="F6" s="6">
        <v>5200</v>
      </c>
      <c r="G6" s="6">
        <v>4800</v>
      </c>
      <c r="H6" s="7">
        <f t="shared" ref="H6:H11" si="0">SUM(E6:G6)</f>
        <v>15000</v>
      </c>
      <c r="I6" s="7">
        <f t="shared" ref="I6:I11" si="1">AVERAGE(E6:G6)</f>
        <v>5000</v>
      </c>
      <c r="J6" s="7" t="str">
        <f t="shared" ref="J6:J11" si="2">_xlfn.CONCAT(B6," ",C6)</f>
        <v>Ankit Sharma</v>
      </c>
    </row>
    <row r="7" spans="1:10" x14ac:dyDescent="0.25">
      <c r="A7" s="6">
        <v>2</v>
      </c>
      <c r="B7" s="7" t="s">
        <v>11</v>
      </c>
      <c r="C7" s="7" t="s">
        <v>12</v>
      </c>
      <c r="D7" s="8">
        <v>44977</v>
      </c>
      <c r="E7" s="6">
        <v>6000</v>
      </c>
      <c r="F7" s="6">
        <v>5900</v>
      </c>
      <c r="G7" s="6">
        <v>6100</v>
      </c>
      <c r="H7" s="7">
        <f t="shared" si="0"/>
        <v>18000</v>
      </c>
      <c r="I7" s="7">
        <f t="shared" si="1"/>
        <v>6000</v>
      </c>
      <c r="J7" s="7" t="str">
        <f t="shared" si="2"/>
        <v>Priya Verma</v>
      </c>
    </row>
    <row r="8" spans="1:10" x14ac:dyDescent="0.25">
      <c r="A8" s="6">
        <v>1</v>
      </c>
      <c r="B8" s="7" t="s">
        <v>9</v>
      </c>
      <c r="C8" s="7" t="s">
        <v>10</v>
      </c>
      <c r="D8" s="8">
        <v>44576</v>
      </c>
      <c r="E8" s="6">
        <v>5000</v>
      </c>
      <c r="F8" s="6">
        <v>5200</v>
      </c>
      <c r="G8" s="6">
        <v>4800</v>
      </c>
      <c r="H8" s="7">
        <f t="shared" si="0"/>
        <v>15000</v>
      </c>
      <c r="I8" s="7">
        <f t="shared" si="1"/>
        <v>5000</v>
      </c>
      <c r="J8" s="7" t="str">
        <f t="shared" si="2"/>
        <v>Ankit Sharma</v>
      </c>
    </row>
    <row r="9" spans="1:10" x14ac:dyDescent="0.25">
      <c r="A9" s="6">
        <v>3</v>
      </c>
      <c r="B9" s="7" t="s">
        <v>13</v>
      </c>
      <c r="C9" s="7" t="s">
        <v>14</v>
      </c>
      <c r="D9" s="8">
        <v>44535</v>
      </c>
      <c r="E9" s="6">
        <v>4500</v>
      </c>
      <c r="F9" s="6">
        <v>4700</v>
      </c>
      <c r="G9" s="6">
        <v>4600</v>
      </c>
      <c r="H9" s="7">
        <f t="shared" si="0"/>
        <v>13800</v>
      </c>
      <c r="I9" s="7">
        <f t="shared" si="1"/>
        <v>4600</v>
      </c>
      <c r="J9" s="7" t="str">
        <f t="shared" si="2"/>
        <v>Meera Iyer</v>
      </c>
    </row>
    <row r="10" spans="1:10" x14ac:dyDescent="0.25">
      <c r="A10" s="6">
        <v>4</v>
      </c>
      <c r="B10" s="7" t="s">
        <v>15</v>
      </c>
      <c r="C10" s="7" t="s">
        <v>16</v>
      </c>
      <c r="D10" s="8">
        <v>44053</v>
      </c>
      <c r="E10" s="6">
        <v>7000</v>
      </c>
      <c r="F10" s="6">
        <v>6900</v>
      </c>
      <c r="G10" s="6">
        <v>7100</v>
      </c>
      <c r="H10" s="7">
        <f t="shared" si="0"/>
        <v>21000</v>
      </c>
      <c r="I10" s="7">
        <f t="shared" si="1"/>
        <v>7000</v>
      </c>
      <c r="J10" s="7" t="str">
        <f t="shared" si="2"/>
        <v>Rohan Gupta</v>
      </c>
    </row>
    <row r="11" spans="1:10" x14ac:dyDescent="0.25">
      <c r="A11" s="6">
        <v>5</v>
      </c>
      <c r="B11" s="7" t="s">
        <v>17</v>
      </c>
      <c r="C11" s="7" t="s">
        <v>18</v>
      </c>
      <c r="D11" s="8">
        <v>43580</v>
      </c>
      <c r="E11" s="6">
        <v>5500</v>
      </c>
      <c r="F11" s="6">
        <v>5300</v>
      </c>
      <c r="G11" s="6">
        <v>5600</v>
      </c>
      <c r="H11" s="7">
        <f t="shared" si="0"/>
        <v>16400</v>
      </c>
      <c r="I11" s="9">
        <f t="shared" si="1"/>
        <v>5466.666666666667</v>
      </c>
      <c r="J11" s="7" t="str">
        <f t="shared" si="2"/>
        <v>Kavya Desai</v>
      </c>
    </row>
  </sheetData>
  <mergeCells count="1">
    <mergeCell ref="A1:J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1884C-BDFF-4681-A763-BC82A6C304D4}">
  <dimension ref="A2:D10"/>
  <sheetViews>
    <sheetView zoomScale="197" zoomScaleNormal="197" workbookViewId="0">
      <selection activeCell="C3" sqref="C3"/>
    </sheetView>
  </sheetViews>
  <sheetFormatPr defaultRowHeight="15" x14ac:dyDescent="0.25"/>
  <cols>
    <col min="2" max="2" width="13.7109375" style="2" bestFit="1" customWidth="1"/>
  </cols>
  <sheetData>
    <row r="2" spans="1:4" x14ac:dyDescent="0.25">
      <c r="A2" t="s">
        <v>38</v>
      </c>
      <c r="B2" s="2" t="s">
        <v>39</v>
      </c>
      <c r="C2" t="s">
        <v>40</v>
      </c>
      <c r="D2" t="s">
        <v>41</v>
      </c>
    </row>
    <row r="3" spans="1:4" x14ac:dyDescent="0.25">
      <c r="A3">
        <v>1.0333000000000001</v>
      </c>
      <c r="B3" s="2">
        <f>ROUND(A3,0)</f>
        <v>1</v>
      </c>
      <c r="C3">
        <f>ROUNDUP(A3,0)</f>
        <v>2</v>
      </c>
      <c r="D3">
        <f>ROUNDDOWN(A3,0)</f>
        <v>1</v>
      </c>
    </row>
    <row r="4" spans="1:4" x14ac:dyDescent="0.25">
      <c r="A4">
        <v>2.5623</v>
      </c>
      <c r="B4" s="2">
        <f t="shared" ref="B4:B8" si="0">ROUND(A4,0)</f>
        <v>3</v>
      </c>
      <c r="C4">
        <f t="shared" ref="C4:C8" si="1">ROUNDUP(A4,0)</f>
        <v>3</v>
      </c>
      <c r="D4">
        <f t="shared" ref="D4:D8" si="2">ROUNDDOWN(A4,0)</f>
        <v>2</v>
      </c>
    </row>
    <row r="5" spans="1:4" x14ac:dyDescent="0.25">
      <c r="A5">
        <v>3.3102999999999998</v>
      </c>
      <c r="B5" s="2">
        <f t="shared" si="0"/>
        <v>3</v>
      </c>
      <c r="C5">
        <f t="shared" si="1"/>
        <v>4</v>
      </c>
      <c r="D5">
        <f t="shared" si="2"/>
        <v>3</v>
      </c>
    </row>
    <row r="6" spans="1:4" x14ac:dyDescent="0.25">
      <c r="A6">
        <v>3.4125000000000001</v>
      </c>
      <c r="B6" s="2">
        <f t="shared" si="0"/>
        <v>3</v>
      </c>
      <c r="C6">
        <f t="shared" si="1"/>
        <v>4</v>
      </c>
      <c r="D6">
        <f t="shared" si="2"/>
        <v>3</v>
      </c>
    </row>
    <row r="7" spans="1:4" x14ac:dyDescent="0.25">
      <c r="A7">
        <v>0.30099999999999999</v>
      </c>
      <c r="B7" s="2">
        <f t="shared" si="0"/>
        <v>0</v>
      </c>
      <c r="C7">
        <f t="shared" si="1"/>
        <v>1</v>
      </c>
      <c r="D7">
        <f t="shared" si="2"/>
        <v>0</v>
      </c>
    </row>
    <row r="8" spans="1:4" x14ac:dyDescent="0.25">
      <c r="A8">
        <v>4.5599999999999996</v>
      </c>
      <c r="B8" s="2">
        <f t="shared" si="0"/>
        <v>5</v>
      </c>
      <c r="C8">
        <f t="shared" si="1"/>
        <v>5</v>
      </c>
      <c r="D8">
        <f t="shared" si="2"/>
        <v>4</v>
      </c>
    </row>
    <row r="10" spans="1:4" x14ac:dyDescent="0.25">
      <c r="B10" s="2" t="s">
        <v>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3031D-2139-4725-B017-137678AE8BEA}">
  <dimension ref="B2:H13"/>
  <sheetViews>
    <sheetView workbookViewId="0">
      <selection activeCell="D4" sqref="D4"/>
    </sheetView>
  </sheetViews>
  <sheetFormatPr defaultRowHeight="15" x14ac:dyDescent="0.25"/>
  <cols>
    <col min="2" max="2" width="10.85546875" bestFit="1" customWidth="1"/>
  </cols>
  <sheetData>
    <row r="2" spans="2:8" x14ac:dyDescent="0.25">
      <c r="B2" t="s">
        <v>43</v>
      </c>
      <c r="C2" t="s">
        <v>55</v>
      </c>
      <c r="D2" t="s">
        <v>62</v>
      </c>
      <c r="E2" t="s">
        <v>73</v>
      </c>
      <c r="F2">
        <v>1</v>
      </c>
      <c r="H2" t="s">
        <v>43</v>
      </c>
    </row>
    <row r="3" spans="2:8" x14ac:dyDescent="0.25">
      <c r="B3" t="s">
        <v>44</v>
      </c>
      <c r="C3" t="s">
        <v>56</v>
      </c>
      <c r="D3" t="s">
        <v>63</v>
      </c>
      <c r="E3" t="s">
        <v>74</v>
      </c>
      <c r="F3">
        <v>2</v>
      </c>
      <c r="H3" t="s">
        <v>44</v>
      </c>
    </row>
    <row r="4" spans="2:8" x14ac:dyDescent="0.25">
      <c r="B4" t="s">
        <v>45</v>
      </c>
      <c r="C4" t="s">
        <v>57</v>
      </c>
      <c r="D4" t="s">
        <v>64</v>
      </c>
      <c r="E4" t="s">
        <v>75</v>
      </c>
      <c r="F4">
        <v>3</v>
      </c>
      <c r="H4" t="s">
        <v>45</v>
      </c>
    </row>
    <row r="5" spans="2:8" x14ac:dyDescent="0.25">
      <c r="B5" t="s">
        <v>46</v>
      </c>
      <c r="C5" t="s">
        <v>58</v>
      </c>
      <c r="D5" t="s">
        <v>65</v>
      </c>
      <c r="E5" t="s">
        <v>76</v>
      </c>
      <c r="F5">
        <v>4</v>
      </c>
      <c r="H5" t="s">
        <v>46</v>
      </c>
    </row>
    <row r="6" spans="2:8" x14ac:dyDescent="0.25">
      <c r="B6" t="s">
        <v>47</v>
      </c>
      <c r="C6" t="s">
        <v>59</v>
      </c>
      <c r="D6" t="s">
        <v>47</v>
      </c>
      <c r="E6" t="s">
        <v>77</v>
      </c>
      <c r="F6">
        <v>5</v>
      </c>
      <c r="H6" t="s">
        <v>47</v>
      </c>
    </row>
    <row r="7" spans="2:8" x14ac:dyDescent="0.25">
      <c r="B7" t="s">
        <v>48</v>
      </c>
      <c r="C7" t="s">
        <v>60</v>
      </c>
      <c r="D7" t="s">
        <v>66</v>
      </c>
      <c r="E7" t="s">
        <v>78</v>
      </c>
      <c r="F7">
        <v>6</v>
      </c>
      <c r="H7" t="s">
        <v>48</v>
      </c>
    </row>
    <row r="8" spans="2:8" x14ac:dyDescent="0.25">
      <c r="B8" t="s">
        <v>49</v>
      </c>
      <c r="C8" t="s">
        <v>61</v>
      </c>
      <c r="D8" t="s">
        <v>67</v>
      </c>
      <c r="E8" t="s">
        <v>79</v>
      </c>
      <c r="F8">
        <v>7</v>
      </c>
      <c r="H8" t="s">
        <v>49</v>
      </c>
    </row>
    <row r="9" spans="2:8" x14ac:dyDescent="0.25">
      <c r="B9" t="s">
        <v>50</v>
      </c>
      <c r="D9" t="s">
        <v>68</v>
      </c>
      <c r="F9">
        <v>8</v>
      </c>
      <c r="H9" t="s">
        <v>50</v>
      </c>
    </row>
    <row r="10" spans="2:8" x14ac:dyDescent="0.25">
      <c r="B10" t="s">
        <v>51</v>
      </c>
      <c r="D10" t="s">
        <v>69</v>
      </c>
      <c r="F10">
        <v>9</v>
      </c>
      <c r="H10" t="s">
        <v>51</v>
      </c>
    </row>
    <row r="11" spans="2:8" x14ac:dyDescent="0.25">
      <c r="B11" t="s">
        <v>52</v>
      </c>
      <c r="D11" t="s">
        <v>70</v>
      </c>
      <c r="F11">
        <v>10</v>
      </c>
      <c r="H11" t="s">
        <v>52</v>
      </c>
    </row>
    <row r="12" spans="2:8" x14ac:dyDescent="0.25">
      <c r="B12" t="s">
        <v>53</v>
      </c>
      <c r="D12" t="s">
        <v>71</v>
      </c>
      <c r="F12">
        <v>11</v>
      </c>
      <c r="H12" t="s">
        <v>53</v>
      </c>
    </row>
    <row r="13" spans="2:8" x14ac:dyDescent="0.25">
      <c r="B13" t="s">
        <v>54</v>
      </c>
      <c r="D13" t="s">
        <v>72</v>
      </c>
      <c r="F13">
        <v>12</v>
      </c>
      <c r="H13" t="s">
        <v>54</v>
      </c>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A3CC-A2F9-4498-8053-B0D2D0818124}">
  <dimension ref="A1:M23"/>
  <sheetViews>
    <sheetView workbookViewId="0">
      <selection activeCell="H4" activeCellId="2" sqref="I16 A4:A19 H4:H19"/>
    </sheetView>
  </sheetViews>
  <sheetFormatPr defaultRowHeight="15" x14ac:dyDescent="0.25"/>
  <cols>
    <col min="1" max="1" width="7.5703125" bestFit="1" customWidth="1"/>
    <col min="2" max="2" width="7.7109375" bestFit="1" customWidth="1"/>
    <col min="3" max="3" width="4.42578125" bestFit="1" customWidth="1"/>
    <col min="4" max="4" width="5.42578125" bestFit="1" customWidth="1"/>
    <col min="5" max="5" width="7" bestFit="1" customWidth="1"/>
    <col min="6" max="7" width="10.42578125" bestFit="1" customWidth="1"/>
    <col min="8" max="8" width="9.42578125" bestFit="1" customWidth="1"/>
    <col min="9" max="9" width="24.42578125" bestFit="1" customWidth="1"/>
  </cols>
  <sheetData>
    <row r="1" spans="1:9" x14ac:dyDescent="0.25">
      <c r="A1" s="75" t="s">
        <v>128</v>
      </c>
      <c r="B1" s="75"/>
      <c r="C1" s="75"/>
      <c r="D1" s="75"/>
      <c r="E1" s="75"/>
      <c r="F1" s="75"/>
      <c r="G1" s="75"/>
      <c r="H1" s="75"/>
      <c r="I1" s="75"/>
    </row>
    <row r="2" spans="1:9" x14ac:dyDescent="0.25">
      <c r="A2" s="75"/>
      <c r="B2" s="75"/>
      <c r="C2" s="75"/>
      <c r="D2" s="75"/>
      <c r="E2" s="75"/>
      <c r="F2" s="75"/>
      <c r="G2" s="75"/>
      <c r="H2" s="75"/>
      <c r="I2" s="75"/>
    </row>
    <row r="3" spans="1:9" x14ac:dyDescent="0.25">
      <c r="A3" s="76"/>
      <c r="B3" s="76"/>
      <c r="C3" s="76"/>
      <c r="D3" s="76"/>
      <c r="E3" s="76"/>
      <c r="F3" s="76"/>
      <c r="G3" s="76"/>
      <c r="H3" s="76"/>
      <c r="I3" s="76"/>
    </row>
    <row r="4" spans="1:9" x14ac:dyDescent="0.25">
      <c r="A4" s="12" t="s">
        <v>80</v>
      </c>
      <c r="B4" s="12" t="s">
        <v>81</v>
      </c>
      <c r="C4" s="12" t="s">
        <v>82</v>
      </c>
      <c r="D4" s="12" t="s">
        <v>83</v>
      </c>
      <c r="E4" s="12" t="s">
        <v>84</v>
      </c>
      <c r="F4" s="12" t="s">
        <v>85</v>
      </c>
      <c r="G4" s="12" t="s">
        <v>86</v>
      </c>
      <c r="H4" s="12" t="s">
        <v>87</v>
      </c>
      <c r="I4" s="12" t="s">
        <v>88</v>
      </c>
    </row>
    <row r="5" spans="1:9" x14ac:dyDescent="0.25">
      <c r="A5" s="7" t="s">
        <v>89</v>
      </c>
      <c r="B5" s="7" t="s">
        <v>90</v>
      </c>
      <c r="C5" s="7">
        <v>17</v>
      </c>
      <c r="D5" s="7" t="s">
        <v>91</v>
      </c>
      <c r="E5" s="7" t="s">
        <v>92</v>
      </c>
      <c r="F5" s="7">
        <v>55</v>
      </c>
      <c r="G5" s="7">
        <v>99</v>
      </c>
      <c r="H5" s="7">
        <v>100</v>
      </c>
      <c r="I5" s="7" t="s">
        <v>93</v>
      </c>
    </row>
    <row r="6" spans="1:9" x14ac:dyDescent="0.25">
      <c r="A6" s="7" t="s">
        <v>94</v>
      </c>
      <c r="B6" s="7" t="s">
        <v>95</v>
      </c>
      <c r="C6" s="7">
        <v>18</v>
      </c>
      <c r="D6" s="7" t="s">
        <v>96</v>
      </c>
      <c r="E6" s="7" t="s">
        <v>97</v>
      </c>
      <c r="F6" s="7">
        <v>22</v>
      </c>
      <c r="G6" s="7">
        <v>48</v>
      </c>
      <c r="H6" s="7">
        <v>72</v>
      </c>
      <c r="I6" s="7" t="s">
        <v>98</v>
      </c>
    </row>
    <row r="7" spans="1:9" x14ac:dyDescent="0.25">
      <c r="A7" s="7" t="s">
        <v>99</v>
      </c>
      <c r="B7" s="7" t="s">
        <v>95</v>
      </c>
      <c r="C7" s="7">
        <v>17</v>
      </c>
      <c r="D7" s="7" t="s">
        <v>100</v>
      </c>
      <c r="E7" s="7" t="s">
        <v>101</v>
      </c>
      <c r="F7" s="7">
        <v>91</v>
      </c>
      <c r="G7" s="7">
        <v>68</v>
      </c>
      <c r="H7" s="7">
        <v>7</v>
      </c>
      <c r="I7" s="7" t="s">
        <v>102</v>
      </c>
    </row>
    <row r="8" spans="1:9" x14ac:dyDescent="0.25">
      <c r="A8" s="7" t="s">
        <v>103</v>
      </c>
      <c r="B8" s="7" t="s">
        <v>90</v>
      </c>
      <c r="C8" s="7">
        <v>16</v>
      </c>
      <c r="D8" s="7" t="s">
        <v>104</v>
      </c>
      <c r="E8" s="7" t="s">
        <v>101</v>
      </c>
      <c r="F8" s="7">
        <v>45</v>
      </c>
      <c r="G8" s="7">
        <v>58</v>
      </c>
      <c r="H8" s="7">
        <v>79</v>
      </c>
      <c r="I8" s="7" t="s">
        <v>105</v>
      </c>
    </row>
    <row r="9" spans="1:9" x14ac:dyDescent="0.25">
      <c r="A9" s="7" t="s">
        <v>106</v>
      </c>
      <c r="B9" s="7" t="s">
        <v>90</v>
      </c>
      <c r="C9" s="7">
        <v>18</v>
      </c>
      <c r="D9" s="7" t="s">
        <v>107</v>
      </c>
      <c r="E9" s="7" t="s">
        <v>97</v>
      </c>
      <c r="F9" s="7">
        <v>93</v>
      </c>
      <c r="G9" s="7">
        <v>20</v>
      </c>
      <c r="H9" s="7">
        <v>55</v>
      </c>
      <c r="I9" s="7" t="s">
        <v>108</v>
      </c>
    </row>
    <row r="10" spans="1:9" x14ac:dyDescent="0.25">
      <c r="A10" s="7" t="s">
        <v>109</v>
      </c>
      <c r="B10" s="7" t="s">
        <v>95</v>
      </c>
      <c r="C10" s="7">
        <v>16</v>
      </c>
      <c r="D10" s="7" t="s">
        <v>91</v>
      </c>
      <c r="E10" s="7" t="s">
        <v>97</v>
      </c>
      <c r="F10" s="7">
        <v>96</v>
      </c>
      <c r="G10" s="7">
        <v>57</v>
      </c>
      <c r="H10" s="7">
        <v>65</v>
      </c>
      <c r="I10" s="7" t="s">
        <v>110</v>
      </c>
    </row>
    <row r="11" spans="1:9" x14ac:dyDescent="0.25">
      <c r="A11" s="7" t="s">
        <v>111</v>
      </c>
      <c r="B11" s="7" t="s">
        <v>90</v>
      </c>
      <c r="C11" s="7">
        <v>18</v>
      </c>
      <c r="D11" s="7" t="s">
        <v>100</v>
      </c>
      <c r="E11" s="7" t="s">
        <v>112</v>
      </c>
      <c r="F11" s="7">
        <v>42</v>
      </c>
      <c r="G11" s="7">
        <v>37</v>
      </c>
      <c r="H11" s="7">
        <v>4</v>
      </c>
      <c r="I11" s="7" t="s">
        <v>113</v>
      </c>
    </row>
    <row r="12" spans="1:9" x14ac:dyDescent="0.25">
      <c r="A12" s="7" t="s">
        <v>11</v>
      </c>
      <c r="B12" s="7" t="s">
        <v>95</v>
      </c>
      <c r="C12" s="7">
        <v>17</v>
      </c>
      <c r="D12" s="7" t="s">
        <v>114</v>
      </c>
      <c r="E12" s="7" t="s">
        <v>97</v>
      </c>
      <c r="F12" s="7">
        <v>61</v>
      </c>
      <c r="G12" s="7">
        <v>91</v>
      </c>
      <c r="H12" s="7">
        <v>42</v>
      </c>
      <c r="I12" s="7" t="s">
        <v>115</v>
      </c>
    </row>
    <row r="13" spans="1:9" x14ac:dyDescent="0.25">
      <c r="A13" s="7" t="s">
        <v>15</v>
      </c>
      <c r="B13" s="7" t="s">
        <v>90</v>
      </c>
      <c r="C13" s="7">
        <v>15</v>
      </c>
      <c r="D13" s="7" t="s">
        <v>91</v>
      </c>
      <c r="E13" s="7" t="s">
        <v>97</v>
      </c>
      <c r="F13" s="7">
        <v>19</v>
      </c>
      <c r="G13" s="7">
        <v>46</v>
      </c>
      <c r="H13" s="7">
        <v>49</v>
      </c>
      <c r="I13" s="13" t="s">
        <v>116</v>
      </c>
    </row>
    <row r="14" spans="1:9" x14ac:dyDescent="0.25">
      <c r="A14" s="7" t="s">
        <v>117</v>
      </c>
      <c r="B14" s="7" t="s">
        <v>90</v>
      </c>
      <c r="C14" s="7">
        <v>16</v>
      </c>
      <c r="D14" s="7" t="s">
        <v>96</v>
      </c>
      <c r="E14" s="7" t="s">
        <v>112</v>
      </c>
      <c r="F14" s="7">
        <v>15</v>
      </c>
      <c r="G14" s="7">
        <v>73</v>
      </c>
      <c r="H14" s="7">
        <v>52</v>
      </c>
      <c r="I14" s="7" t="s">
        <v>118</v>
      </c>
    </row>
    <row r="15" spans="1:9" x14ac:dyDescent="0.25">
      <c r="A15" s="7" t="s">
        <v>119</v>
      </c>
      <c r="B15" s="7" t="s">
        <v>90</v>
      </c>
      <c r="C15" s="7">
        <v>16</v>
      </c>
      <c r="D15" s="7" t="s">
        <v>114</v>
      </c>
      <c r="E15" s="7" t="s">
        <v>101</v>
      </c>
      <c r="F15" s="7">
        <v>84</v>
      </c>
      <c r="G15" s="7">
        <v>31</v>
      </c>
      <c r="H15" s="7">
        <v>98</v>
      </c>
      <c r="I15" s="7" t="s">
        <v>120</v>
      </c>
    </row>
    <row r="16" spans="1:9" x14ac:dyDescent="0.25">
      <c r="A16" s="7" t="s">
        <v>13</v>
      </c>
      <c r="B16" s="7" t="s">
        <v>95</v>
      </c>
      <c r="C16" s="7">
        <v>18</v>
      </c>
      <c r="D16" s="7" t="s">
        <v>100</v>
      </c>
      <c r="E16" s="7" t="s">
        <v>97</v>
      </c>
      <c r="F16" s="7">
        <v>7</v>
      </c>
      <c r="G16" s="7">
        <v>60</v>
      </c>
      <c r="H16" s="7">
        <v>68</v>
      </c>
      <c r="I16" s="7" t="s">
        <v>121</v>
      </c>
    </row>
    <row r="17" spans="1:13" x14ac:dyDescent="0.25">
      <c r="A17" s="7" t="s">
        <v>122</v>
      </c>
      <c r="B17" s="7" t="s">
        <v>95</v>
      </c>
      <c r="C17" s="7">
        <v>15</v>
      </c>
      <c r="D17" s="7" t="s">
        <v>104</v>
      </c>
      <c r="E17" s="7" t="s">
        <v>101</v>
      </c>
      <c r="F17" s="7">
        <v>50</v>
      </c>
      <c r="G17" s="7">
        <v>80</v>
      </c>
      <c r="H17" s="7">
        <v>37</v>
      </c>
      <c r="I17" s="7" t="s">
        <v>123</v>
      </c>
    </row>
    <row r="18" spans="1:13" ht="30" x14ac:dyDescent="0.4">
      <c r="A18" s="7" t="s">
        <v>124</v>
      </c>
      <c r="B18" s="7" t="s">
        <v>95</v>
      </c>
      <c r="C18" s="7">
        <v>16</v>
      </c>
      <c r="D18" s="7" t="s">
        <v>104</v>
      </c>
      <c r="E18" s="7" t="s">
        <v>97</v>
      </c>
      <c r="F18" s="7">
        <v>99</v>
      </c>
      <c r="G18" s="7">
        <v>52</v>
      </c>
      <c r="H18" s="7">
        <v>42</v>
      </c>
      <c r="I18" s="7" t="s">
        <v>125</v>
      </c>
      <c r="M18" s="14"/>
    </row>
    <row r="19" spans="1:13" x14ac:dyDescent="0.25">
      <c r="A19" s="7" t="s">
        <v>126</v>
      </c>
      <c r="B19" s="7" t="s">
        <v>90</v>
      </c>
      <c r="C19" s="7">
        <v>16</v>
      </c>
      <c r="D19" s="7" t="s">
        <v>91</v>
      </c>
      <c r="E19" s="7" t="s">
        <v>112</v>
      </c>
      <c r="F19" s="7">
        <v>11</v>
      </c>
      <c r="G19" s="7">
        <v>71</v>
      </c>
      <c r="H19" s="7">
        <v>76</v>
      </c>
      <c r="I19" s="7" t="s">
        <v>127</v>
      </c>
    </row>
    <row r="23" spans="1:13" ht="31.5" x14ac:dyDescent="0.5">
      <c r="M23" s="15" t="s">
        <v>129</v>
      </c>
    </row>
  </sheetData>
  <mergeCells count="1">
    <mergeCell ref="A1:I3"/>
  </mergeCells>
  <hyperlinks>
    <hyperlink ref="I13" r:id="rId1" xr:uid="{E46E2302-DE31-497A-A248-9967B0B41D9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A131-C9D8-47FC-AF9A-A196F74DD33B}">
  <sheetPr filterMode="1"/>
  <dimension ref="A1:M25"/>
  <sheetViews>
    <sheetView workbookViewId="0">
      <selection activeCell="K29" sqref="K29"/>
    </sheetView>
  </sheetViews>
  <sheetFormatPr defaultRowHeight="15" x14ac:dyDescent="0.25"/>
  <cols>
    <col min="6" max="7" width="10.42578125" bestFit="1" customWidth="1"/>
    <col min="9" max="9" width="24.42578125" bestFit="1" customWidth="1"/>
    <col min="13" max="13" width="33.85546875" bestFit="1" customWidth="1"/>
  </cols>
  <sheetData>
    <row r="1" spans="1:9" x14ac:dyDescent="0.25">
      <c r="A1" s="75" t="s">
        <v>128</v>
      </c>
      <c r="B1" s="75"/>
      <c r="C1" s="75"/>
      <c r="D1" s="75"/>
      <c r="E1" s="75"/>
      <c r="F1" s="75"/>
      <c r="G1" s="75"/>
      <c r="H1" s="75"/>
      <c r="I1" s="75"/>
    </row>
    <row r="2" spans="1:9" x14ac:dyDescent="0.25">
      <c r="A2" s="75"/>
      <c r="B2" s="75"/>
      <c r="C2" s="75"/>
      <c r="D2" s="75"/>
      <c r="E2" s="75"/>
      <c r="F2" s="75"/>
      <c r="G2" s="75"/>
      <c r="H2" s="75"/>
      <c r="I2" s="75"/>
    </row>
    <row r="3" spans="1:9" x14ac:dyDescent="0.25">
      <c r="A3" s="76"/>
      <c r="B3" s="76"/>
      <c r="C3" s="76"/>
      <c r="D3" s="76"/>
      <c r="E3" s="76"/>
      <c r="F3" s="76"/>
      <c r="G3" s="76"/>
      <c r="H3" s="76"/>
      <c r="I3" s="76"/>
    </row>
    <row r="4" spans="1:9" x14ac:dyDescent="0.25">
      <c r="A4" s="12" t="s">
        <v>80</v>
      </c>
      <c r="B4" s="12" t="s">
        <v>81</v>
      </c>
      <c r="C4" s="12" t="s">
        <v>82</v>
      </c>
      <c r="D4" s="12" t="s">
        <v>83</v>
      </c>
      <c r="E4" s="12" t="s">
        <v>84</v>
      </c>
      <c r="F4" s="12" t="s">
        <v>85</v>
      </c>
      <c r="G4" s="12" t="s">
        <v>86</v>
      </c>
      <c r="H4" s="12" t="s">
        <v>87</v>
      </c>
      <c r="I4" s="12" t="s">
        <v>88</v>
      </c>
    </row>
    <row r="5" spans="1:9" x14ac:dyDescent="0.25">
      <c r="A5" s="7" t="s">
        <v>89</v>
      </c>
      <c r="B5" s="7" t="s">
        <v>90</v>
      </c>
      <c r="C5" s="7">
        <v>17</v>
      </c>
      <c r="D5" s="7" t="s">
        <v>91</v>
      </c>
      <c r="E5" s="7" t="s">
        <v>92</v>
      </c>
      <c r="F5" s="7">
        <v>55</v>
      </c>
      <c r="G5" s="7">
        <v>99</v>
      </c>
      <c r="H5" s="7">
        <v>100</v>
      </c>
      <c r="I5" s="7" t="s">
        <v>93</v>
      </c>
    </row>
    <row r="6" spans="1:9" hidden="1" x14ac:dyDescent="0.25">
      <c r="A6" s="7" t="s">
        <v>94</v>
      </c>
      <c r="B6" s="7" t="s">
        <v>95</v>
      </c>
      <c r="C6" s="7">
        <v>18</v>
      </c>
      <c r="D6" s="7" t="s">
        <v>96</v>
      </c>
      <c r="E6" s="7" t="s">
        <v>97</v>
      </c>
      <c r="F6" s="7">
        <v>22</v>
      </c>
      <c r="G6" s="7">
        <v>48</v>
      </c>
      <c r="H6" s="7">
        <v>72</v>
      </c>
      <c r="I6" s="7" t="s">
        <v>98</v>
      </c>
    </row>
    <row r="7" spans="1:9" hidden="1" x14ac:dyDescent="0.25">
      <c r="A7" s="7" t="s">
        <v>99</v>
      </c>
      <c r="B7" s="7" t="s">
        <v>95</v>
      </c>
      <c r="C7" s="7">
        <v>17</v>
      </c>
      <c r="D7" s="7" t="s">
        <v>100</v>
      </c>
      <c r="E7" s="7" t="s">
        <v>101</v>
      </c>
      <c r="F7" s="7">
        <v>91</v>
      </c>
      <c r="G7" s="7">
        <v>68</v>
      </c>
      <c r="H7" s="7">
        <v>7</v>
      </c>
      <c r="I7" s="7" t="s">
        <v>102</v>
      </c>
    </row>
    <row r="8" spans="1:9" x14ac:dyDescent="0.25">
      <c r="A8" s="7" t="s">
        <v>103</v>
      </c>
      <c r="B8" s="7" t="s">
        <v>90</v>
      </c>
      <c r="C8" s="7">
        <v>16</v>
      </c>
      <c r="D8" s="7" t="s">
        <v>104</v>
      </c>
      <c r="E8" s="7" t="s">
        <v>101</v>
      </c>
      <c r="F8" s="7">
        <v>45</v>
      </c>
      <c r="G8" s="7">
        <v>58</v>
      </c>
      <c r="H8" s="7">
        <v>79</v>
      </c>
      <c r="I8" s="7" t="s">
        <v>105</v>
      </c>
    </row>
    <row r="9" spans="1:9" hidden="1" x14ac:dyDescent="0.25">
      <c r="A9" s="7" t="s">
        <v>106</v>
      </c>
      <c r="B9" s="7" t="s">
        <v>90</v>
      </c>
      <c r="C9" s="7">
        <v>18</v>
      </c>
      <c r="D9" s="7" t="s">
        <v>107</v>
      </c>
      <c r="E9" s="7" t="s">
        <v>97</v>
      </c>
      <c r="F9" s="7">
        <v>93</v>
      </c>
      <c r="G9" s="7">
        <v>20</v>
      </c>
      <c r="H9" s="7">
        <v>55</v>
      </c>
      <c r="I9" s="7" t="s">
        <v>108</v>
      </c>
    </row>
    <row r="10" spans="1:9" hidden="1" x14ac:dyDescent="0.25">
      <c r="A10" s="7" t="s">
        <v>109</v>
      </c>
      <c r="B10" s="7" t="s">
        <v>95</v>
      </c>
      <c r="C10" s="7">
        <v>16</v>
      </c>
      <c r="D10" s="7" t="s">
        <v>91</v>
      </c>
      <c r="E10" s="7" t="s">
        <v>97</v>
      </c>
      <c r="F10" s="7">
        <v>96</v>
      </c>
      <c r="G10" s="7">
        <v>57</v>
      </c>
      <c r="H10" s="7">
        <v>65</v>
      </c>
      <c r="I10" s="7" t="s">
        <v>110</v>
      </c>
    </row>
    <row r="11" spans="1:9" hidden="1" x14ac:dyDescent="0.25">
      <c r="A11" s="7" t="s">
        <v>111</v>
      </c>
      <c r="B11" s="7" t="s">
        <v>90</v>
      </c>
      <c r="C11" s="7">
        <v>18</v>
      </c>
      <c r="D11" s="7" t="s">
        <v>100</v>
      </c>
      <c r="E11" s="7" t="s">
        <v>112</v>
      </c>
      <c r="F11" s="7">
        <v>42</v>
      </c>
      <c r="G11" s="7">
        <v>37</v>
      </c>
      <c r="H11" s="7">
        <v>4</v>
      </c>
      <c r="I11" s="7" t="s">
        <v>113</v>
      </c>
    </row>
    <row r="12" spans="1:9" hidden="1" x14ac:dyDescent="0.25">
      <c r="A12" s="7" t="s">
        <v>11</v>
      </c>
      <c r="B12" s="7" t="s">
        <v>95</v>
      </c>
      <c r="C12" s="7">
        <v>17</v>
      </c>
      <c r="D12" s="7" t="s">
        <v>114</v>
      </c>
      <c r="E12" s="7" t="s">
        <v>97</v>
      </c>
      <c r="F12" s="7">
        <v>61</v>
      </c>
      <c r="G12" s="7">
        <v>91</v>
      </c>
      <c r="H12" s="7">
        <v>42</v>
      </c>
      <c r="I12" s="7" t="s">
        <v>115</v>
      </c>
    </row>
    <row r="13" spans="1:9" hidden="1" x14ac:dyDescent="0.25">
      <c r="A13" s="7" t="s">
        <v>15</v>
      </c>
      <c r="B13" s="7" t="s">
        <v>90</v>
      </c>
      <c r="C13" s="7">
        <v>15</v>
      </c>
      <c r="D13" s="7" t="s">
        <v>91</v>
      </c>
      <c r="E13" s="7" t="s">
        <v>97</v>
      </c>
      <c r="F13" s="7">
        <v>19</v>
      </c>
      <c r="G13" s="7">
        <v>46</v>
      </c>
      <c r="H13" s="7">
        <v>49</v>
      </c>
      <c r="I13" s="13" t="s">
        <v>116</v>
      </c>
    </row>
    <row r="14" spans="1:9" hidden="1" x14ac:dyDescent="0.25">
      <c r="A14" s="7" t="s">
        <v>117</v>
      </c>
      <c r="B14" s="7" t="s">
        <v>90</v>
      </c>
      <c r="C14" s="7">
        <v>16</v>
      </c>
      <c r="D14" s="7" t="s">
        <v>96</v>
      </c>
      <c r="E14" s="7" t="s">
        <v>112</v>
      </c>
      <c r="F14" s="7">
        <v>15</v>
      </c>
      <c r="G14" s="7">
        <v>73</v>
      </c>
      <c r="H14" s="7">
        <v>52</v>
      </c>
      <c r="I14" s="7" t="s">
        <v>118</v>
      </c>
    </row>
    <row r="15" spans="1:9" x14ac:dyDescent="0.25">
      <c r="A15" s="7" t="s">
        <v>119</v>
      </c>
      <c r="B15" s="7" t="s">
        <v>90</v>
      </c>
      <c r="C15" s="7">
        <v>16</v>
      </c>
      <c r="D15" s="7" t="s">
        <v>114</v>
      </c>
      <c r="E15" s="7" t="s">
        <v>101</v>
      </c>
      <c r="F15" s="7">
        <v>84</v>
      </c>
      <c r="G15" s="7">
        <v>31</v>
      </c>
      <c r="H15" s="7">
        <v>98</v>
      </c>
      <c r="I15" s="7" t="s">
        <v>120</v>
      </c>
    </row>
    <row r="16" spans="1:9" hidden="1" x14ac:dyDescent="0.25">
      <c r="A16" s="7" t="s">
        <v>13</v>
      </c>
      <c r="B16" s="7" t="s">
        <v>95</v>
      </c>
      <c r="C16" s="7">
        <v>18</v>
      </c>
      <c r="D16" s="7" t="s">
        <v>100</v>
      </c>
      <c r="E16" s="7" t="s">
        <v>97</v>
      </c>
      <c r="F16" s="7">
        <v>7</v>
      </c>
      <c r="G16" s="7">
        <v>60</v>
      </c>
      <c r="H16" s="7">
        <v>68</v>
      </c>
      <c r="I16" s="7" t="s">
        <v>121</v>
      </c>
    </row>
    <row r="17" spans="1:13" hidden="1" x14ac:dyDescent="0.25">
      <c r="A17" s="7" t="s">
        <v>122</v>
      </c>
      <c r="B17" s="7" t="s">
        <v>95</v>
      </c>
      <c r="C17" s="7">
        <v>15</v>
      </c>
      <c r="D17" s="7" t="s">
        <v>104</v>
      </c>
      <c r="E17" s="7" t="s">
        <v>101</v>
      </c>
      <c r="F17" s="7">
        <v>50</v>
      </c>
      <c r="G17" s="7">
        <v>80</v>
      </c>
      <c r="H17" s="7">
        <v>37</v>
      </c>
      <c r="I17" s="7" t="s">
        <v>123</v>
      </c>
    </row>
    <row r="18" spans="1:13" hidden="1" x14ac:dyDescent="0.25">
      <c r="A18" s="7" t="s">
        <v>124</v>
      </c>
      <c r="B18" s="7" t="s">
        <v>95</v>
      </c>
      <c r="C18" s="7">
        <v>16</v>
      </c>
      <c r="D18" s="7" t="s">
        <v>104</v>
      </c>
      <c r="E18" s="7" t="s">
        <v>97</v>
      </c>
      <c r="F18" s="7">
        <v>99</v>
      </c>
      <c r="G18" s="7">
        <v>52</v>
      </c>
      <c r="H18" s="7">
        <v>42</v>
      </c>
      <c r="I18" s="7" t="s">
        <v>125</v>
      </c>
    </row>
    <row r="19" spans="1:13" x14ac:dyDescent="0.25">
      <c r="A19" s="7" t="s">
        <v>126</v>
      </c>
      <c r="B19" s="7" t="s">
        <v>90</v>
      </c>
      <c r="C19" s="7">
        <v>16</v>
      </c>
      <c r="D19" s="7" t="s">
        <v>91</v>
      </c>
      <c r="E19" s="7" t="s">
        <v>112</v>
      </c>
      <c r="F19" s="7">
        <v>11</v>
      </c>
      <c r="G19" s="7">
        <v>71</v>
      </c>
      <c r="H19" s="7">
        <v>76</v>
      </c>
      <c r="I19" s="7" t="s">
        <v>127</v>
      </c>
    </row>
    <row r="21" spans="1:13" x14ac:dyDescent="0.25">
      <c r="M21" s="16" t="s">
        <v>130</v>
      </c>
    </row>
    <row r="22" spans="1:13" x14ac:dyDescent="0.25">
      <c r="M22" s="16" t="s">
        <v>131</v>
      </c>
    </row>
    <row r="23" spans="1:13" x14ac:dyDescent="0.25">
      <c r="M23" s="16" t="s">
        <v>132</v>
      </c>
    </row>
    <row r="24" spans="1:13" x14ac:dyDescent="0.25">
      <c r="M24" s="16" t="s">
        <v>133</v>
      </c>
    </row>
    <row r="25" spans="1:13" x14ac:dyDescent="0.25">
      <c r="M25" s="16" t="s">
        <v>134</v>
      </c>
    </row>
  </sheetData>
  <autoFilter ref="A4:I19" xr:uid="{0876A131-C9D8-47FC-AF9A-A196F74DD33B}">
    <filterColumn colId="7">
      <customFilters>
        <customFilter operator="greaterThanOrEqual" val="75"/>
      </customFilters>
    </filterColumn>
  </autoFilter>
  <mergeCells count="1">
    <mergeCell ref="A1:I3"/>
  </mergeCells>
  <hyperlinks>
    <hyperlink ref="I13" r:id="rId1" xr:uid="{703C2EBE-A072-4716-8453-3DB097E02E5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0277-FA30-4EC3-B3E6-8C95E677752E}">
  <dimension ref="A1:M28"/>
  <sheetViews>
    <sheetView workbookViewId="0">
      <selection activeCell="E9" sqref="E9"/>
    </sheetView>
  </sheetViews>
  <sheetFormatPr defaultRowHeight="15" x14ac:dyDescent="0.25"/>
  <cols>
    <col min="2" max="2" width="9.85546875" customWidth="1"/>
    <col min="6" max="7" width="12.5703125" customWidth="1"/>
    <col min="8" max="8" width="11.5703125" customWidth="1"/>
    <col min="9" max="9" width="24.42578125" bestFit="1" customWidth="1"/>
    <col min="13" max="13" width="14.42578125" bestFit="1" customWidth="1"/>
  </cols>
  <sheetData>
    <row r="1" spans="1:9" x14ac:dyDescent="0.25">
      <c r="A1" s="75" t="s">
        <v>128</v>
      </c>
      <c r="B1" s="75"/>
      <c r="C1" s="75"/>
      <c r="D1" s="75"/>
      <c r="E1" s="75"/>
      <c r="F1" s="75"/>
      <c r="G1" s="75"/>
      <c r="H1" s="75"/>
      <c r="I1" s="75"/>
    </row>
    <row r="2" spans="1:9" x14ac:dyDescent="0.25">
      <c r="A2" s="75"/>
      <c r="B2" s="75"/>
      <c r="C2" s="75"/>
      <c r="D2" s="75"/>
      <c r="E2" s="75"/>
      <c r="F2" s="75"/>
      <c r="G2" s="75"/>
      <c r="H2" s="75"/>
      <c r="I2" s="75"/>
    </row>
    <row r="3" spans="1:9" x14ac:dyDescent="0.25">
      <c r="A3" s="76"/>
      <c r="B3" s="76"/>
      <c r="C3" s="76"/>
      <c r="D3" s="76"/>
      <c r="E3" s="76"/>
      <c r="F3" s="76"/>
      <c r="G3" s="76"/>
      <c r="H3" s="76"/>
      <c r="I3" s="76"/>
    </row>
    <row r="4" spans="1:9" ht="15.75" x14ac:dyDescent="0.25">
      <c r="A4" s="28" t="s">
        <v>80</v>
      </c>
      <c r="B4" s="56" t="s">
        <v>81</v>
      </c>
      <c r="C4" s="23" t="s">
        <v>82</v>
      </c>
      <c r="D4" s="23" t="s">
        <v>83</v>
      </c>
      <c r="E4" s="23" t="s">
        <v>84</v>
      </c>
      <c r="F4" s="23" t="s">
        <v>85</v>
      </c>
      <c r="G4" s="23" t="s">
        <v>86</v>
      </c>
      <c r="H4" s="23" t="s">
        <v>87</v>
      </c>
      <c r="I4" s="24" t="s">
        <v>88</v>
      </c>
    </row>
    <row r="5" spans="1:9" x14ac:dyDescent="0.25">
      <c r="A5" s="18" t="s">
        <v>89</v>
      </c>
      <c r="B5" s="7" t="s">
        <v>90</v>
      </c>
      <c r="C5" s="7">
        <v>17</v>
      </c>
      <c r="D5" s="7" t="s">
        <v>91</v>
      </c>
      <c r="E5" s="7" t="s">
        <v>92</v>
      </c>
      <c r="F5" s="7">
        <v>55</v>
      </c>
      <c r="G5" s="7">
        <v>99</v>
      </c>
      <c r="H5" s="7">
        <v>100</v>
      </c>
      <c r="I5" s="19" t="s">
        <v>93</v>
      </c>
    </row>
    <row r="6" spans="1:9" hidden="1" x14ac:dyDescent="0.25">
      <c r="A6" s="18" t="s">
        <v>94</v>
      </c>
      <c r="B6" s="7" t="s">
        <v>95</v>
      </c>
      <c r="C6" s="7">
        <v>18</v>
      </c>
      <c r="D6" s="7" t="s">
        <v>96</v>
      </c>
      <c r="E6" s="7" t="s">
        <v>97</v>
      </c>
      <c r="F6" s="7">
        <v>22</v>
      </c>
      <c r="G6" s="7">
        <v>48</v>
      </c>
      <c r="H6" s="7">
        <v>72</v>
      </c>
      <c r="I6" s="19" t="s">
        <v>98</v>
      </c>
    </row>
    <row r="7" spans="1:9" hidden="1" x14ac:dyDescent="0.25">
      <c r="A7" s="18" t="s">
        <v>99</v>
      </c>
      <c r="B7" s="7" t="s">
        <v>95</v>
      </c>
      <c r="C7" s="7">
        <v>17</v>
      </c>
      <c r="D7" s="7" t="s">
        <v>100</v>
      </c>
      <c r="E7" s="7" t="s">
        <v>101</v>
      </c>
      <c r="F7" s="7">
        <v>91</v>
      </c>
      <c r="G7" s="7">
        <v>68</v>
      </c>
      <c r="H7" s="7">
        <v>7</v>
      </c>
      <c r="I7" s="19" t="s">
        <v>102</v>
      </c>
    </row>
    <row r="8" spans="1:9" x14ac:dyDescent="0.25">
      <c r="A8" s="18" t="s">
        <v>103</v>
      </c>
      <c r="B8" s="7" t="s">
        <v>90</v>
      </c>
      <c r="C8" s="7">
        <v>16</v>
      </c>
      <c r="D8" s="7" t="s">
        <v>104</v>
      </c>
      <c r="E8" s="7" t="s">
        <v>101</v>
      </c>
      <c r="F8" s="7">
        <v>45</v>
      </c>
      <c r="G8" s="7">
        <v>58</v>
      </c>
      <c r="H8" s="7">
        <v>79</v>
      </c>
      <c r="I8" s="19" t="s">
        <v>105</v>
      </c>
    </row>
    <row r="9" spans="1:9" x14ac:dyDescent="0.25">
      <c r="A9" s="18" t="s">
        <v>106</v>
      </c>
      <c r="B9" s="7" t="s">
        <v>90</v>
      </c>
      <c r="C9" s="7">
        <v>18</v>
      </c>
      <c r="D9" s="7" t="s">
        <v>107</v>
      </c>
      <c r="E9" s="7" t="s">
        <v>97</v>
      </c>
      <c r="F9" s="7">
        <v>93</v>
      </c>
      <c r="G9" s="7">
        <v>20</v>
      </c>
      <c r="H9" s="7">
        <v>55</v>
      </c>
      <c r="I9" s="19" t="s">
        <v>108</v>
      </c>
    </row>
    <row r="10" spans="1:9" hidden="1" x14ac:dyDescent="0.25">
      <c r="A10" s="18" t="s">
        <v>109</v>
      </c>
      <c r="B10" s="7" t="s">
        <v>95</v>
      </c>
      <c r="C10" s="7">
        <v>16</v>
      </c>
      <c r="D10" s="7" t="s">
        <v>91</v>
      </c>
      <c r="E10" s="7" t="s">
        <v>97</v>
      </c>
      <c r="F10" s="7">
        <v>96</v>
      </c>
      <c r="G10" s="7">
        <v>57</v>
      </c>
      <c r="H10" s="7">
        <v>65</v>
      </c>
      <c r="I10" s="19" t="s">
        <v>110</v>
      </c>
    </row>
    <row r="11" spans="1:9" x14ac:dyDescent="0.25">
      <c r="A11" s="18" t="s">
        <v>111</v>
      </c>
      <c r="B11" s="7" t="s">
        <v>90</v>
      </c>
      <c r="C11" s="7">
        <v>18</v>
      </c>
      <c r="D11" s="7" t="s">
        <v>100</v>
      </c>
      <c r="E11" s="7" t="s">
        <v>112</v>
      </c>
      <c r="F11" s="7">
        <v>42</v>
      </c>
      <c r="G11" s="7">
        <v>37</v>
      </c>
      <c r="H11" s="7">
        <v>4</v>
      </c>
      <c r="I11" s="19" t="s">
        <v>113</v>
      </c>
    </row>
    <row r="12" spans="1:9" hidden="1" x14ac:dyDescent="0.25">
      <c r="A12" s="18" t="s">
        <v>11</v>
      </c>
      <c r="B12" s="7" t="s">
        <v>95</v>
      </c>
      <c r="C12" s="7">
        <v>17</v>
      </c>
      <c r="D12" s="7" t="s">
        <v>114</v>
      </c>
      <c r="E12" s="7" t="s">
        <v>97</v>
      </c>
      <c r="F12" s="7">
        <v>61</v>
      </c>
      <c r="G12" s="7">
        <v>91</v>
      </c>
      <c r="H12" s="7">
        <v>42</v>
      </c>
      <c r="I12" s="19" t="s">
        <v>115</v>
      </c>
    </row>
    <row r="13" spans="1:9" x14ac:dyDescent="0.25">
      <c r="A13" s="18" t="s">
        <v>15</v>
      </c>
      <c r="B13" s="7" t="s">
        <v>90</v>
      </c>
      <c r="C13" s="7">
        <v>15</v>
      </c>
      <c r="D13" s="7" t="s">
        <v>91</v>
      </c>
      <c r="E13" s="7" t="s">
        <v>97</v>
      </c>
      <c r="F13" s="7">
        <v>19</v>
      </c>
      <c r="G13" s="7">
        <v>46</v>
      </c>
      <c r="H13" s="7">
        <v>49</v>
      </c>
      <c r="I13" s="20" t="s">
        <v>116</v>
      </c>
    </row>
    <row r="14" spans="1:9" x14ac:dyDescent="0.25">
      <c r="A14" s="18" t="s">
        <v>117</v>
      </c>
      <c r="B14" s="7" t="s">
        <v>90</v>
      </c>
      <c r="C14" s="7">
        <v>16</v>
      </c>
      <c r="D14" s="7" t="s">
        <v>96</v>
      </c>
      <c r="E14" s="7" t="s">
        <v>112</v>
      </c>
      <c r="F14" s="7">
        <v>15</v>
      </c>
      <c r="G14" s="7">
        <v>73</v>
      </c>
      <c r="H14" s="7">
        <v>52</v>
      </c>
      <c r="I14" s="19" t="s">
        <v>118</v>
      </c>
    </row>
    <row r="15" spans="1:9" x14ac:dyDescent="0.25">
      <c r="A15" s="18" t="s">
        <v>119</v>
      </c>
      <c r="B15" s="7" t="s">
        <v>90</v>
      </c>
      <c r="C15" s="7">
        <v>16</v>
      </c>
      <c r="D15" s="7" t="s">
        <v>114</v>
      </c>
      <c r="E15" s="7" t="s">
        <v>101</v>
      </c>
      <c r="F15" s="7">
        <v>84</v>
      </c>
      <c r="G15" s="7">
        <v>31</v>
      </c>
      <c r="H15" s="7">
        <v>98</v>
      </c>
      <c r="I15" s="19" t="s">
        <v>120</v>
      </c>
    </row>
    <row r="16" spans="1:9" hidden="1" x14ac:dyDescent="0.25">
      <c r="A16" s="18" t="s">
        <v>13</v>
      </c>
      <c r="B16" s="7" t="s">
        <v>95</v>
      </c>
      <c r="C16" s="7">
        <v>18</v>
      </c>
      <c r="D16" s="7" t="s">
        <v>100</v>
      </c>
      <c r="E16" s="7" t="s">
        <v>97</v>
      </c>
      <c r="F16" s="7">
        <v>7</v>
      </c>
      <c r="G16" s="7">
        <v>60</v>
      </c>
      <c r="H16" s="7">
        <v>68</v>
      </c>
      <c r="I16" s="19" t="s">
        <v>121</v>
      </c>
    </row>
    <row r="17" spans="1:13" hidden="1" x14ac:dyDescent="0.25">
      <c r="A17" s="18" t="s">
        <v>122</v>
      </c>
      <c r="B17" s="7" t="s">
        <v>95</v>
      </c>
      <c r="C17" s="7">
        <v>15</v>
      </c>
      <c r="D17" s="7" t="s">
        <v>104</v>
      </c>
      <c r="E17" s="7" t="s">
        <v>101</v>
      </c>
      <c r="F17" s="7">
        <v>50</v>
      </c>
      <c r="G17" s="7">
        <v>80</v>
      </c>
      <c r="H17" s="7">
        <v>37</v>
      </c>
      <c r="I17" s="19" t="s">
        <v>123</v>
      </c>
    </row>
    <row r="18" spans="1:13" hidden="1" x14ac:dyDescent="0.25">
      <c r="A18" s="18" t="s">
        <v>124</v>
      </c>
      <c r="B18" s="7" t="s">
        <v>95</v>
      </c>
      <c r="C18" s="7">
        <v>16</v>
      </c>
      <c r="D18" s="7" t="s">
        <v>104</v>
      </c>
      <c r="E18" s="7" t="s">
        <v>97</v>
      </c>
      <c r="F18" s="7">
        <v>99</v>
      </c>
      <c r="G18" s="7">
        <v>52</v>
      </c>
      <c r="H18" s="7">
        <v>42</v>
      </c>
      <c r="I18" s="19" t="s">
        <v>125</v>
      </c>
    </row>
    <row r="19" spans="1:13" x14ac:dyDescent="0.25">
      <c r="A19" s="21" t="s">
        <v>126</v>
      </c>
      <c r="B19" s="17" t="s">
        <v>90</v>
      </c>
      <c r="C19" s="17">
        <v>16</v>
      </c>
      <c r="D19" s="17" t="s">
        <v>91</v>
      </c>
      <c r="E19" s="17" t="s">
        <v>112</v>
      </c>
      <c r="F19" s="17">
        <v>11</v>
      </c>
      <c r="G19" s="17">
        <v>71</v>
      </c>
      <c r="H19" s="17">
        <v>76</v>
      </c>
      <c r="I19" s="22" t="s">
        <v>127</v>
      </c>
    </row>
    <row r="21" spans="1:13" x14ac:dyDescent="0.25">
      <c r="M21" s="16" t="s">
        <v>136</v>
      </c>
    </row>
    <row r="23" spans="1:13" x14ac:dyDescent="0.25">
      <c r="M23" s="16" t="s">
        <v>137</v>
      </c>
    </row>
    <row r="24" spans="1:13" x14ac:dyDescent="0.25">
      <c r="M24" s="16" t="s">
        <v>135</v>
      </c>
    </row>
    <row r="26" spans="1:13" x14ac:dyDescent="0.25">
      <c r="M26" s="16" t="s">
        <v>138</v>
      </c>
    </row>
    <row r="28" spans="1:13" x14ac:dyDescent="0.25">
      <c r="M28" s="16"/>
    </row>
  </sheetData>
  <mergeCells count="1">
    <mergeCell ref="A1:I3"/>
  </mergeCells>
  <hyperlinks>
    <hyperlink ref="I13" r:id="rId1" xr:uid="{6956BA00-56B7-4FC8-AB6D-920F8CD21858}"/>
    <hyperlink ref="A4" location="'Add Link and Hyperlink'!A1" display="Name" xr:uid="{EF813BE0-66F4-48F7-9E12-735265DA66BE}"/>
    <hyperlink ref="B4" location="'Add Link and Hyperlink'!A1" display="Gender" xr:uid="{4CB421D5-3ECE-4F29-B64E-B8E3C62871FF}"/>
  </hyperlinks>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B3CE-416F-46B4-9D8D-51EABC05BCD0}">
  <dimension ref="A1:J20"/>
  <sheetViews>
    <sheetView workbookViewId="0">
      <selection activeCell="D16" sqref="D16"/>
    </sheetView>
  </sheetViews>
  <sheetFormatPr defaultRowHeight="15" x14ac:dyDescent="0.25"/>
  <cols>
    <col min="10" max="10" width="21.5703125" bestFit="1" customWidth="1"/>
  </cols>
  <sheetData>
    <row r="1" spans="1:10" ht="15.75" x14ac:dyDescent="0.25">
      <c r="A1" s="25" t="s">
        <v>80</v>
      </c>
    </row>
    <row r="2" spans="1:10" x14ac:dyDescent="0.25">
      <c r="A2" s="26" t="s">
        <v>89</v>
      </c>
    </row>
    <row r="3" spans="1:10" x14ac:dyDescent="0.25">
      <c r="A3" s="27" t="s">
        <v>94</v>
      </c>
    </row>
    <row r="4" spans="1:10" x14ac:dyDescent="0.25">
      <c r="A4" s="26" t="s">
        <v>99</v>
      </c>
    </row>
    <row r="5" spans="1:10" x14ac:dyDescent="0.25">
      <c r="A5" s="27" t="s">
        <v>103</v>
      </c>
    </row>
    <row r="6" spans="1:10" x14ac:dyDescent="0.25">
      <c r="A6" s="26" t="s">
        <v>106</v>
      </c>
    </row>
    <row r="7" spans="1:10" x14ac:dyDescent="0.25">
      <c r="A7" s="27" t="s">
        <v>109</v>
      </c>
    </row>
    <row r="8" spans="1:10" x14ac:dyDescent="0.25">
      <c r="A8" s="26" t="s">
        <v>111</v>
      </c>
    </row>
    <row r="9" spans="1:10" x14ac:dyDescent="0.25">
      <c r="A9" s="27" t="s">
        <v>11</v>
      </c>
    </row>
    <row r="10" spans="1:10" x14ac:dyDescent="0.25">
      <c r="A10" s="26" t="s">
        <v>15</v>
      </c>
    </row>
    <row r="11" spans="1:10" x14ac:dyDescent="0.25">
      <c r="A11" s="27" t="s">
        <v>117</v>
      </c>
    </row>
    <row r="12" spans="1:10" x14ac:dyDescent="0.25">
      <c r="A12" s="26" t="s">
        <v>119</v>
      </c>
    </row>
    <row r="13" spans="1:10" x14ac:dyDescent="0.25">
      <c r="A13" s="27" t="s">
        <v>13</v>
      </c>
    </row>
    <row r="14" spans="1:10" x14ac:dyDescent="0.25">
      <c r="A14" s="26" t="s">
        <v>122</v>
      </c>
      <c r="J14" s="16" t="s">
        <v>139</v>
      </c>
    </row>
    <row r="15" spans="1:10" x14ac:dyDescent="0.25">
      <c r="A15" s="27" t="s">
        <v>124</v>
      </c>
    </row>
    <row r="16" spans="1:10" x14ac:dyDescent="0.25">
      <c r="A16" s="26" t="s">
        <v>126</v>
      </c>
      <c r="J16" s="16" t="s">
        <v>140</v>
      </c>
    </row>
    <row r="17" spans="10:10" x14ac:dyDescent="0.25">
      <c r="J17" t="s">
        <v>141</v>
      </c>
    </row>
    <row r="20" spans="10:10" x14ac:dyDescent="0.25">
      <c r="J20" s="16" t="s">
        <v>142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40604-4907-4B39-B8F0-DDC75BBC54C0}">
  <dimension ref="A2:J13"/>
  <sheetViews>
    <sheetView zoomScale="200" zoomScaleNormal="200" workbookViewId="0">
      <selection activeCell="H3" sqref="H3"/>
    </sheetView>
  </sheetViews>
  <sheetFormatPr defaultRowHeight="15" x14ac:dyDescent="0.25"/>
  <cols>
    <col min="10" max="10" width="41.140625" bestFit="1" customWidth="1"/>
  </cols>
  <sheetData>
    <row r="2" spans="1:10" ht="15.75" x14ac:dyDescent="0.25">
      <c r="A2" s="11" t="s">
        <v>143</v>
      </c>
      <c r="B2" s="11"/>
      <c r="E2" s="31" t="s">
        <v>80</v>
      </c>
      <c r="F2" s="32" t="s">
        <v>143</v>
      </c>
      <c r="G2" s="16" t="s">
        <v>143</v>
      </c>
    </row>
    <row r="3" spans="1:10" x14ac:dyDescent="0.25">
      <c r="A3" s="1" t="s">
        <v>144</v>
      </c>
      <c r="B3" s="1"/>
      <c r="E3" s="33" t="s">
        <v>89</v>
      </c>
      <c r="F3" t="s">
        <v>145</v>
      </c>
      <c r="G3" t="s">
        <v>145</v>
      </c>
    </row>
    <row r="4" spans="1:10" x14ac:dyDescent="0.25">
      <c r="A4" s="1" t="s">
        <v>145</v>
      </c>
      <c r="B4" s="1"/>
      <c r="E4" s="30" t="s">
        <v>94</v>
      </c>
      <c r="F4" t="s">
        <v>145</v>
      </c>
      <c r="G4" t="s">
        <v>146</v>
      </c>
    </row>
    <row r="5" spans="1:10" x14ac:dyDescent="0.25">
      <c r="A5" s="1" t="s">
        <v>146</v>
      </c>
      <c r="B5" s="1"/>
      <c r="E5" s="29" t="s">
        <v>99</v>
      </c>
      <c r="F5" t="s">
        <v>146</v>
      </c>
      <c r="G5" t="s">
        <v>145</v>
      </c>
    </row>
    <row r="6" spans="1:10" x14ac:dyDescent="0.25">
      <c r="E6" s="30" t="s">
        <v>103</v>
      </c>
      <c r="F6" t="s">
        <v>145</v>
      </c>
      <c r="G6" t="s">
        <v>145</v>
      </c>
    </row>
    <row r="7" spans="1:10" x14ac:dyDescent="0.25">
      <c r="E7" s="29" t="s">
        <v>106</v>
      </c>
      <c r="F7" t="s">
        <v>145</v>
      </c>
      <c r="G7" t="s">
        <v>145</v>
      </c>
    </row>
    <row r="8" spans="1:10" x14ac:dyDescent="0.25">
      <c r="E8" s="30" t="s">
        <v>109</v>
      </c>
      <c r="F8" t="s">
        <v>146</v>
      </c>
      <c r="G8" t="s">
        <v>145</v>
      </c>
    </row>
    <row r="9" spans="1:10" x14ac:dyDescent="0.25">
      <c r="E9" s="29" t="s">
        <v>111</v>
      </c>
      <c r="F9" t="s">
        <v>145</v>
      </c>
      <c r="G9" t="s">
        <v>145</v>
      </c>
    </row>
    <row r="11" spans="1:10" x14ac:dyDescent="0.25">
      <c r="J11" s="16" t="s">
        <v>147</v>
      </c>
    </row>
    <row r="13" spans="1:10" x14ac:dyDescent="0.25">
      <c r="J13" t="s">
        <v>148</v>
      </c>
    </row>
  </sheetData>
  <dataValidations count="1">
    <dataValidation type="list" allowBlank="1" showInputMessage="1" showErrorMessage="1" sqref="F3:G9" xr:uid="{5EF73BAA-5292-40CD-B935-12A89BDB1478}">
      <formula1>$A$3:$A$5</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873E4-98F3-4C20-A584-A7ED23360589}">
  <dimension ref="A1:H16"/>
  <sheetViews>
    <sheetView zoomScale="150" zoomScaleNormal="150" workbookViewId="0">
      <selection activeCell="H8" sqref="H8"/>
    </sheetView>
  </sheetViews>
  <sheetFormatPr defaultRowHeight="15" x14ac:dyDescent="0.25"/>
  <cols>
    <col min="1" max="1" width="24.42578125" bestFit="1" customWidth="1"/>
    <col min="4" max="4" width="10.5703125" bestFit="1" customWidth="1"/>
    <col min="8" max="8" width="23" bestFit="1" customWidth="1"/>
  </cols>
  <sheetData>
    <row r="1" spans="1:8" ht="15.75" x14ac:dyDescent="0.25">
      <c r="A1" s="37" t="s">
        <v>88</v>
      </c>
      <c r="B1" s="38" t="s">
        <v>80</v>
      </c>
    </row>
    <row r="2" spans="1:8" x14ac:dyDescent="0.25">
      <c r="A2" s="34" t="s">
        <v>93</v>
      </c>
      <c r="B2" t="s">
        <v>150</v>
      </c>
      <c r="C2" s="57"/>
    </row>
    <row r="3" spans="1:8" x14ac:dyDescent="0.25">
      <c r="A3" s="35" t="s">
        <v>98</v>
      </c>
      <c r="B3" t="s">
        <v>151</v>
      </c>
    </row>
    <row r="4" spans="1:8" x14ac:dyDescent="0.25">
      <c r="A4" s="34" t="s">
        <v>102</v>
      </c>
      <c r="B4" t="s">
        <v>152</v>
      </c>
    </row>
    <row r="5" spans="1:8" x14ac:dyDescent="0.25">
      <c r="A5" s="35" t="s">
        <v>105</v>
      </c>
      <c r="B5" t="s">
        <v>153</v>
      </c>
    </row>
    <row r="6" spans="1:8" x14ac:dyDescent="0.25">
      <c r="A6" s="34" t="s">
        <v>108</v>
      </c>
      <c r="B6" t="s">
        <v>154</v>
      </c>
    </row>
    <row r="7" spans="1:8" x14ac:dyDescent="0.25">
      <c r="A7" s="35" t="s">
        <v>110</v>
      </c>
      <c r="B7" t="s">
        <v>155</v>
      </c>
    </row>
    <row r="8" spans="1:8" x14ac:dyDescent="0.25">
      <c r="A8" s="34" t="s">
        <v>113</v>
      </c>
      <c r="B8" t="s">
        <v>156</v>
      </c>
      <c r="H8" t="s">
        <v>149</v>
      </c>
    </row>
    <row r="9" spans="1:8" x14ac:dyDescent="0.25">
      <c r="A9" s="35" t="s">
        <v>115</v>
      </c>
      <c r="B9" t="s">
        <v>157</v>
      </c>
    </row>
    <row r="10" spans="1:8" x14ac:dyDescent="0.25">
      <c r="A10" s="36" t="s">
        <v>116</v>
      </c>
      <c r="B10" t="s">
        <v>158</v>
      </c>
    </row>
    <row r="11" spans="1:8" x14ac:dyDescent="0.25">
      <c r="A11" s="35" t="s">
        <v>118</v>
      </c>
      <c r="B11" t="s">
        <v>159</v>
      </c>
    </row>
    <row r="12" spans="1:8" x14ac:dyDescent="0.25">
      <c r="A12" s="34" t="s">
        <v>120</v>
      </c>
      <c r="B12" t="s">
        <v>160</v>
      </c>
    </row>
    <row r="13" spans="1:8" x14ac:dyDescent="0.25">
      <c r="A13" s="35" t="s">
        <v>121</v>
      </c>
      <c r="B13" t="s">
        <v>161</v>
      </c>
    </row>
    <row r="14" spans="1:8" x14ac:dyDescent="0.25">
      <c r="A14" s="34" t="s">
        <v>123</v>
      </c>
      <c r="B14" t="s">
        <v>162</v>
      </c>
    </row>
    <row r="15" spans="1:8" x14ac:dyDescent="0.25">
      <c r="A15" s="35" t="s">
        <v>125</v>
      </c>
      <c r="B15" t="s">
        <v>163</v>
      </c>
    </row>
    <row r="16" spans="1:8" x14ac:dyDescent="0.25">
      <c r="A16" s="34" t="s">
        <v>127</v>
      </c>
      <c r="B16" t="s">
        <v>164</v>
      </c>
    </row>
  </sheetData>
  <hyperlinks>
    <hyperlink ref="A10" r:id="rId1" xr:uid="{317F38F3-4C72-4266-B63D-E6DFB379B30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8B88-8750-49B4-A675-1F0C6D030962}">
  <dimension ref="A1:E18"/>
  <sheetViews>
    <sheetView zoomScale="170" zoomScaleNormal="170" workbookViewId="0">
      <selection activeCell="D14" sqref="D14"/>
    </sheetView>
  </sheetViews>
  <sheetFormatPr defaultRowHeight="15" x14ac:dyDescent="0.25"/>
  <cols>
    <col min="1" max="1" width="7.5703125" bestFit="1" customWidth="1"/>
    <col min="9" max="9" width="32.28515625" bestFit="1" customWidth="1"/>
  </cols>
  <sheetData>
    <row r="1" spans="1:2" ht="15.75" x14ac:dyDescent="0.25">
      <c r="A1" s="39" t="s">
        <v>80</v>
      </c>
      <c r="B1" s="40" t="s">
        <v>87</v>
      </c>
    </row>
    <row r="2" spans="1:2" x14ac:dyDescent="0.25">
      <c r="A2" s="26" t="s">
        <v>89</v>
      </c>
      <c r="B2" s="26">
        <v>100</v>
      </c>
    </row>
    <row r="3" spans="1:2" x14ac:dyDescent="0.25">
      <c r="A3" s="27" t="s">
        <v>94</v>
      </c>
      <c r="B3" s="27">
        <v>72</v>
      </c>
    </row>
    <row r="4" spans="1:2" x14ac:dyDescent="0.25">
      <c r="A4" s="26" t="s">
        <v>99</v>
      </c>
      <c r="B4" s="26">
        <v>7</v>
      </c>
    </row>
    <row r="5" spans="1:2" x14ac:dyDescent="0.25">
      <c r="A5" s="27" t="s">
        <v>103</v>
      </c>
      <c r="B5" s="27">
        <v>79</v>
      </c>
    </row>
    <row r="6" spans="1:2" x14ac:dyDescent="0.25">
      <c r="A6" s="26" t="s">
        <v>106</v>
      </c>
      <c r="B6" s="26">
        <v>55</v>
      </c>
    </row>
    <row r="7" spans="1:2" x14ac:dyDescent="0.25">
      <c r="A7" s="27" t="s">
        <v>109</v>
      </c>
      <c r="B7" s="27">
        <v>65</v>
      </c>
    </row>
    <row r="8" spans="1:2" x14ac:dyDescent="0.25">
      <c r="A8" s="26" t="s">
        <v>111</v>
      </c>
      <c r="B8" s="26">
        <v>4</v>
      </c>
    </row>
    <row r="9" spans="1:2" x14ac:dyDescent="0.25">
      <c r="A9" s="27" t="s">
        <v>11</v>
      </c>
      <c r="B9" s="27">
        <v>42</v>
      </c>
    </row>
    <row r="10" spans="1:2" x14ac:dyDescent="0.25">
      <c r="A10" s="26" t="s">
        <v>15</v>
      </c>
      <c r="B10" s="26">
        <v>49</v>
      </c>
    </row>
    <row r="11" spans="1:2" x14ac:dyDescent="0.25">
      <c r="A11" s="27" t="s">
        <v>117</v>
      </c>
      <c r="B11" s="27">
        <v>52</v>
      </c>
    </row>
    <row r="12" spans="1:2" x14ac:dyDescent="0.25">
      <c r="A12" s="26" t="s">
        <v>119</v>
      </c>
      <c r="B12" s="26">
        <v>98</v>
      </c>
    </row>
    <row r="13" spans="1:2" x14ac:dyDescent="0.25">
      <c r="A13" s="27" t="s">
        <v>13</v>
      </c>
      <c r="B13" s="27">
        <v>68</v>
      </c>
    </row>
    <row r="14" spans="1:2" x14ac:dyDescent="0.25">
      <c r="A14" s="26" t="s">
        <v>122</v>
      </c>
      <c r="B14" s="26">
        <v>37</v>
      </c>
    </row>
    <row r="15" spans="1:2" x14ac:dyDescent="0.25">
      <c r="A15" s="27" t="s">
        <v>124</v>
      </c>
      <c r="B15" s="27">
        <v>42</v>
      </c>
    </row>
    <row r="16" spans="1:2" x14ac:dyDescent="0.25">
      <c r="A16" s="26" t="s">
        <v>126</v>
      </c>
      <c r="B16" s="26">
        <v>76</v>
      </c>
    </row>
    <row r="18" spans="5:5" x14ac:dyDescent="0.25">
      <c r="E18" t="s">
        <v>165</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476B-6574-477E-95B8-D24D984FB5C5}">
  <dimension ref="A1:N26"/>
  <sheetViews>
    <sheetView topLeftCell="F1" zoomScale="119" zoomScaleNormal="137" workbookViewId="0">
      <selection activeCell="K10" sqref="K10"/>
    </sheetView>
  </sheetViews>
  <sheetFormatPr defaultRowHeight="15" x14ac:dyDescent="0.25"/>
  <cols>
    <col min="1" max="1" width="15" bestFit="1" customWidth="1"/>
    <col min="2" max="2" width="10.5703125" bestFit="1" customWidth="1"/>
    <col min="3" max="3" width="10.140625" bestFit="1" customWidth="1"/>
    <col min="4" max="4" width="7.140625" bestFit="1" customWidth="1"/>
    <col min="5" max="5" width="10.85546875" bestFit="1" customWidth="1"/>
    <col min="8" max="9" width="11" bestFit="1" customWidth="1"/>
    <col min="10" max="10" width="59.28515625" style="1" bestFit="1" customWidth="1"/>
    <col min="11" max="11" width="59.28515625" bestFit="1" customWidth="1"/>
    <col min="12" max="12" width="13.85546875" bestFit="1" customWidth="1"/>
    <col min="13" max="13" width="23.140625" bestFit="1" customWidth="1"/>
    <col min="14" max="14" width="12.7109375" bestFit="1" customWidth="1"/>
  </cols>
  <sheetData>
    <row r="1" spans="1:14" x14ac:dyDescent="0.25">
      <c r="A1" s="12" t="s">
        <v>204</v>
      </c>
      <c r="B1" s="12" t="s">
        <v>8</v>
      </c>
      <c r="C1" s="12" t="s">
        <v>1</v>
      </c>
      <c r="D1" s="12" t="s">
        <v>205</v>
      </c>
      <c r="E1" s="12" t="s">
        <v>206</v>
      </c>
      <c r="F1" s="12" t="s">
        <v>207</v>
      </c>
      <c r="G1" s="12"/>
      <c r="H1" s="12"/>
      <c r="I1" s="12">
        <v>50000</v>
      </c>
      <c r="J1" s="12" t="s">
        <v>282</v>
      </c>
      <c r="K1" s="12" t="s">
        <v>283</v>
      </c>
      <c r="L1" s="12" t="s">
        <v>284</v>
      </c>
      <c r="M1" s="59" t="s">
        <v>285</v>
      </c>
      <c r="N1" s="59" t="s">
        <v>286</v>
      </c>
    </row>
    <row r="2" spans="1:14" x14ac:dyDescent="0.25">
      <c r="A2" s="58" t="s">
        <v>208</v>
      </c>
      <c r="B2" s="58" t="s">
        <v>9</v>
      </c>
      <c r="C2" s="58" t="s">
        <v>209</v>
      </c>
      <c r="D2" s="58" t="s">
        <v>210</v>
      </c>
      <c r="E2" s="58" t="s">
        <v>211</v>
      </c>
      <c r="F2" s="58">
        <v>26450</v>
      </c>
      <c r="H2" t="str">
        <f>IF(F2 &gt;50000,"Expensive","Economical")</f>
        <v>Economical</v>
      </c>
      <c r="I2" t="str">
        <f>IF(F2&gt;$I$1,"Expensive","Economical")</f>
        <v>Economical</v>
      </c>
      <c r="J2" s="1" t="b">
        <f>IF(AND(E2 = "Operations",F2 &gt; 50000),"Flag")</f>
        <v>0</v>
      </c>
      <c r="K2" t="str">
        <f>IF(OR(F2 &lt; 25000,F2 &gt; 50000),"To be Checked","Not to be Checked")</f>
        <v>Not to be Checked</v>
      </c>
      <c r="L2" t="str">
        <f>IF(F2&gt;60000, "A", IF(F2&gt;=50000, "B", "C"))</f>
        <v>C</v>
      </c>
      <c r="M2" t="str">
        <f>LOWER(B2 &amp; "." &amp; C2 &amp; "@gmail.com")</f>
        <v>ankit.mehta@gmail.com</v>
      </c>
      <c r="N2" t="str">
        <f>IF(LEFT(F2,2)="65", "Mid Senior", "Other")</f>
        <v>Other</v>
      </c>
    </row>
    <row r="3" spans="1:14" x14ac:dyDescent="0.25">
      <c r="A3" s="58" t="s">
        <v>212</v>
      </c>
      <c r="B3" s="58" t="s">
        <v>11</v>
      </c>
      <c r="C3" s="58" t="s">
        <v>10</v>
      </c>
      <c r="D3" s="58" t="s">
        <v>213</v>
      </c>
      <c r="E3" s="58" t="s">
        <v>214</v>
      </c>
      <c r="F3" s="58">
        <v>57300</v>
      </c>
      <c r="H3" s="58" t="str">
        <f t="shared" ref="H3:H26" si="0">IF(F3 &gt;50000,"Expensive","Economical")</f>
        <v>Expensive</v>
      </c>
      <c r="I3" s="58" t="str">
        <f t="shared" ref="I3:I26" si="1">IF(F3&gt;$I$1,"Expensive","Economical")</f>
        <v>Expensive</v>
      </c>
      <c r="J3" s="1" t="b">
        <f t="shared" ref="J3:J26" si="2">IF(AND(E3 = "Operations",F3 &gt; 50000),"Flag")</f>
        <v>0</v>
      </c>
      <c r="K3" s="58" t="str">
        <f t="shared" ref="K3:K26" si="3">IF(OR(F3 &lt; 25000,F3 &gt; 50000),"To be Checked","Not to be Checked")</f>
        <v>To be Checked</v>
      </c>
      <c r="L3" s="58" t="str">
        <f t="shared" ref="L3:L26" si="4">IF(F3&gt;60000, "A", IF(F3&gt;=50000, "B", "C"))</f>
        <v>B</v>
      </c>
      <c r="M3" s="58" t="str">
        <f t="shared" ref="M3:M26" si="5">LOWER(B3 &amp; "." &amp; C3 &amp; "@gmail.com")</f>
        <v>priya.sharma@gmail.com</v>
      </c>
      <c r="N3" s="58" t="str">
        <f t="shared" ref="N3:N26" si="6">IF(LEFT(F3,2)="65", "Mid Senior", "Other")</f>
        <v>Other</v>
      </c>
    </row>
    <row r="4" spans="1:14" x14ac:dyDescent="0.25">
      <c r="A4" s="58" t="s">
        <v>215</v>
      </c>
      <c r="B4" s="58" t="s">
        <v>216</v>
      </c>
      <c r="C4" s="58" t="s">
        <v>14</v>
      </c>
      <c r="D4" s="58" t="s">
        <v>217</v>
      </c>
      <c r="E4" s="58" t="s">
        <v>218</v>
      </c>
      <c r="F4" s="58">
        <v>81200</v>
      </c>
      <c r="H4" s="58" t="str">
        <f t="shared" si="0"/>
        <v>Expensive</v>
      </c>
      <c r="I4" s="58" t="str">
        <f t="shared" si="1"/>
        <v>Expensive</v>
      </c>
      <c r="J4" s="1" t="b">
        <f t="shared" si="2"/>
        <v>0</v>
      </c>
      <c r="K4" s="58" t="str">
        <f t="shared" si="3"/>
        <v>To be Checked</v>
      </c>
      <c r="L4" s="58" t="str">
        <f t="shared" si="4"/>
        <v>A</v>
      </c>
      <c r="M4" s="58" t="str">
        <f t="shared" si="5"/>
        <v>ramesh.iyer@gmail.com</v>
      </c>
      <c r="N4" s="58" t="str">
        <f t="shared" si="6"/>
        <v>Other</v>
      </c>
    </row>
    <row r="5" spans="1:14" x14ac:dyDescent="0.25">
      <c r="A5" s="58" t="s">
        <v>219</v>
      </c>
      <c r="B5" s="58" t="s">
        <v>117</v>
      </c>
      <c r="C5" s="58" t="s">
        <v>220</v>
      </c>
      <c r="D5" s="58" t="s">
        <v>221</v>
      </c>
      <c r="E5" s="58" t="s">
        <v>222</v>
      </c>
      <c r="F5" s="58">
        <v>49850</v>
      </c>
      <c r="H5" s="58" t="str">
        <f t="shared" si="0"/>
        <v>Economical</v>
      </c>
      <c r="I5" s="58" t="str">
        <f t="shared" si="1"/>
        <v>Economical</v>
      </c>
      <c r="J5" s="1" t="b">
        <f t="shared" si="2"/>
        <v>0</v>
      </c>
      <c r="K5" s="58" t="str">
        <f t="shared" si="3"/>
        <v>Not to be Checked</v>
      </c>
      <c r="L5" s="58" t="str">
        <f t="shared" si="4"/>
        <v>C</v>
      </c>
      <c r="M5" s="58" t="str">
        <f t="shared" si="5"/>
        <v>sneha.rathi@gmail.com</v>
      </c>
      <c r="N5" s="58" t="str">
        <f t="shared" si="6"/>
        <v>Other</v>
      </c>
    </row>
    <row r="6" spans="1:14" x14ac:dyDescent="0.25">
      <c r="A6" s="58" t="s">
        <v>223</v>
      </c>
      <c r="B6" s="58" t="s">
        <v>224</v>
      </c>
      <c r="C6" s="58" t="s">
        <v>225</v>
      </c>
      <c r="D6" s="58" t="s">
        <v>213</v>
      </c>
      <c r="E6" s="58" t="s">
        <v>226</v>
      </c>
      <c r="F6" s="58">
        <v>43900</v>
      </c>
      <c r="H6" s="58" t="str">
        <f t="shared" si="0"/>
        <v>Economical</v>
      </c>
      <c r="I6" s="58" t="str">
        <f t="shared" si="1"/>
        <v>Economical</v>
      </c>
      <c r="J6" s="1" t="b">
        <f t="shared" si="2"/>
        <v>0</v>
      </c>
      <c r="K6" s="58" t="str">
        <f t="shared" si="3"/>
        <v>Not to be Checked</v>
      </c>
      <c r="L6" s="58" t="str">
        <f t="shared" si="4"/>
        <v>C</v>
      </c>
      <c r="M6" s="58" t="str">
        <f t="shared" si="5"/>
        <v>kunal.bansal@gmail.com</v>
      </c>
      <c r="N6" s="58" t="str">
        <f t="shared" si="6"/>
        <v>Other</v>
      </c>
    </row>
    <row r="7" spans="1:14" x14ac:dyDescent="0.25">
      <c r="A7" s="58" t="s">
        <v>227</v>
      </c>
      <c r="B7" s="58" t="s">
        <v>94</v>
      </c>
      <c r="C7" s="58" t="s">
        <v>228</v>
      </c>
      <c r="D7" s="58" t="s">
        <v>217</v>
      </c>
      <c r="E7" s="58" t="s">
        <v>211</v>
      </c>
      <c r="F7" s="58">
        <v>65800</v>
      </c>
      <c r="H7" s="58" t="str">
        <f t="shared" si="0"/>
        <v>Expensive</v>
      </c>
      <c r="I7" s="58" t="str">
        <f t="shared" si="1"/>
        <v>Expensive</v>
      </c>
      <c r="J7" s="1" t="str">
        <f t="shared" si="2"/>
        <v>Flag</v>
      </c>
      <c r="K7" s="58" t="str">
        <f t="shared" si="3"/>
        <v>To be Checked</v>
      </c>
      <c r="L7" s="58" t="str">
        <f t="shared" si="4"/>
        <v>A</v>
      </c>
      <c r="M7" s="58" t="str">
        <f t="shared" si="5"/>
        <v>ananya.joshi@gmail.com</v>
      </c>
      <c r="N7" s="58" t="str">
        <f t="shared" si="6"/>
        <v>Mid Senior</v>
      </c>
    </row>
    <row r="8" spans="1:14" x14ac:dyDescent="0.25">
      <c r="A8" s="58" t="s">
        <v>229</v>
      </c>
      <c r="B8" s="58" t="s">
        <v>230</v>
      </c>
      <c r="C8" s="58" t="s">
        <v>12</v>
      </c>
      <c r="D8" s="58" t="s">
        <v>221</v>
      </c>
      <c r="E8" s="58" t="s">
        <v>211</v>
      </c>
      <c r="F8" s="58">
        <v>87250</v>
      </c>
      <c r="H8" s="58" t="str">
        <f t="shared" si="0"/>
        <v>Expensive</v>
      </c>
      <c r="I8" s="58" t="str">
        <f t="shared" si="1"/>
        <v>Expensive</v>
      </c>
      <c r="J8" s="1" t="str">
        <f t="shared" si="2"/>
        <v>Flag</v>
      </c>
      <c r="K8" s="58" t="str">
        <f t="shared" si="3"/>
        <v>To be Checked</v>
      </c>
      <c r="L8" s="58" t="str">
        <f t="shared" si="4"/>
        <v>A</v>
      </c>
      <c r="M8" s="58" t="str">
        <f t="shared" si="5"/>
        <v>mohit.verma@gmail.com</v>
      </c>
      <c r="N8" s="58" t="str">
        <f t="shared" si="6"/>
        <v>Other</v>
      </c>
    </row>
    <row r="9" spans="1:14" x14ac:dyDescent="0.25">
      <c r="A9" s="58" t="s">
        <v>231</v>
      </c>
      <c r="B9" s="58" t="s">
        <v>232</v>
      </c>
      <c r="C9" s="58" t="s">
        <v>18</v>
      </c>
      <c r="D9" s="58" t="s">
        <v>210</v>
      </c>
      <c r="E9" s="58" t="s">
        <v>211</v>
      </c>
      <c r="F9" s="58">
        <v>74850</v>
      </c>
      <c r="H9" s="58" t="str">
        <f t="shared" si="0"/>
        <v>Expensive</v>
      </c>
      <c r="I9" s="58" t="str">
        <f t="shared" si="1"/>
        <v>Expensive</v>
      </c>
      <c r="J9" s="1" t="str">
        <f t="shared" si="2"/>
        <v>Flag</v>
      </c>
      <c r="K9" s="58" t="str">
        <f t="shared" si="3"/>
        <v>To be Checked</v>
      </c>
      <c r="L9" s="58" t="str">
        <f t="shared" si="4"/>
        <v>A</v>
      </c>
      <c r="M9" s="58" t="str">
        <f t="shared" si="5"/>
        <v>aarti.desai@gmail.com</v>
      </c>
      <c r="N9" s="58" t="str">
        <f t="shared" si="6"/>
        <v>Other</v>
      </c>
    </row>
    <row r="10" spans="1:14" x14ac:dyDescent="0.25">
      <c r="A10" s="58" t="s">
        <v>233</v>
      </c>
      <c r="B10" s="58" t="s">
        <v>234</v>
      </c>
      <c r="C10" s="58" t="s">
        <v>235</v>
      </c>
      <c r="D10" s="58" t="s">
        <v>217</v>
      </c>
      <c r="E10" s="58" t="s">
        <v>211</v>
      </c>
      <c r="F10" s="58">
        <v>78500</v>
      </c>
      <c r="H10" s="58" t="str">
        <f t="shared" si="0"/>
        <v>Expensive</v>
      </c>
      <c r="I10" s="58" t="str">
        <f t="shared" si="1"/>
        <v>Expensive</v>
      </c>
      <c r="J10" s="1" t="str">
        <f t="shared" si="2"/>
        <v>Flag</v>
      </c>
      <c r="K10" s="58" t="str">
        <f t="shared" si="3"/>
        <v>To be Checked</v>
      </c>
      <c r="L10" s="58" t="str">
        <f t="shared" si="4"/>
        <v>A</v>
      </c>
      <c r="M10" s="58" t="str">
        <f t="shared" si="5"/>
        <v>rishi.goyal@gmail.com</v>
      </c>
      <c r="N10" s="58" t="str">
        <f t="shared" si="6"/>
        <v>Other</v>
      </c>
    </row>
    <row r="11" spans="1:14" x14ac:dyDescent="0.25">
      <c r="A11" s="58" t="s">
        <v>236</v>
      </c>
      <c r="B11" s="58" t="s">
        <v>237</v>
      </c>
      <c r="C11" s="58" t="s">
        <v>238</v>
      </c>
      <c r="D11" s="58" t="s">
        <v>221</v>
      </c>
      <c r="E11" s="58" t="s">
        <v>218</v>
      </c>
      <c r="F11" s="58">
        <v>92500</v>
      </c>
      <c r="H11" s="58" t="str">
        <f t="shared" si="0"/>
        <v>Expensive</v>
      </c>
      <c r="I11" s="58" t="str">
        <f t="shared" si="1"/>
        <v>Expensive</v>
      </c>
      <c r="J11" s="1" t="b">
        <f t="shared" si="2"/>
        <v>0</v>
      </c>
      <c r="K11" s="58" t="str">
        <f t="shared" si="3"/>
        <v>To be Checked</v>
      </c>
      <c r="L11" s="58" t="str">
        <f t="shared" si="4"/>
        <v>A</v>
      </c>
      <c r="M11" s="58" t="str">
        <f t="shared" si="5"/>
        <v>isha.kapoor@gmail.com</v>
      </c>
      <c r="N11" s="58" t="str">
        <f t="shared" si="6"/>
        <v>Other</v>
      </c>
    </row>
    <row r="12" spans="1:14" x14ac:dyDescent="0.25">
      <c r="A12" s="58" t="s">
        <v>239</v>
      </c>
      <c r="B12" s="58" t="s">
        <v>240</v>
      </c>
      <c r="C12" s="58" t="s">
        <v>241</v>
      </c>
      <c r="D12" s="58" t="s">
        <v>210</v>
      </c>
      <c r="E12" s="58" t="s">
        <v>222</v>
      </c>
      <c r="F12" s="58">
        <v>36500</v>
      </c>
      <c r="H12" s="58" t="str">
        <f t="shared" si="0"/>
        <v>Economical</v>
      </c>
      <c r="I12" s="58" t="str">
        <f t="shared" si="1"/>
        <v>Economical</v>
      </c>
      <c r="J12" s="1" t="b">
        <f t="shared" si="2"/>
        <v>0</v>
      </c>
      <c r="K12" s="58" t="str">
        <f t="shared" si="3"/>
        <v>Not to be Checked</v>
      </c>
      <c r="L12" s="58" t="str">
        <f t="shared" si="4"/>
        <v>C</v>
      </c>
      <c r="M12" s="58" t="str">
        <f t="shared" si="5"/>
        <v>deepak.nair@gmail.com</v>
      </c>
      <c r="N12" s="58" t="str">
        <f t="shared" si="6"/>
        <v>Other</v>
      </c>
    </row>
    <row r="13" spans="1:14" x14ac:dyDescent="0.25">
      <c r="A13" s="58" t="s">
        <v>242</v>
      </c>
      <c r="B13" s="58" t="s">
        <v>243</v>
      </c>
      <c r="C13" s="58" t="s">
        <v>244</v>
      </c>
      <c r="D13" s="58" t="s">
        <v>213</v>
      </c>
      <c r="E13" s="58" t="s">
        <v>222</v>
      </c>
      <c r="F13" s="58">
        <v>37500</v>
      </c>
      <c r="H13" s="58" t="str">
        <f t="shared" si="0"/>
        <v>Economical</v>
      </c>
      <c r="I13" s="58" t="str">
        <f t="shared" si="1"/>
        <v>Economical</v>
      </c>
      <c r="J13" s="1" t="b">
        <f t="shared" si="2"/>
        <v>0</v>
      </c>
      <c r="K13" s="58" t="str">
        <f t="shared" si="3"/>
        <v>Not to be Checked</v>
      </c>
      <c r="L13" s="58" t="str">
        <f t="shared" si="4"/>
        <v>C</v>
      </c>
      <c r="M13" s="58" t="str">
        <f t="shared" si="5"/>
        <v>ritu.menon@gmail.com</v>
      </c>
      <c r="N13" s="58" t="str">
        <f t="shared" si="6"/>
        <v>Other</v>
      </c>
    </row>
    <row r="14" spans="1:14" x14ac:dyDescent="0.25">
      <c r="A14" s="58" t="s">
        <v>245</v>
      </c>
      <c r="B14" s="58" t="s">
        <v>89</v>
      </c>
      <c r="C14" s="58" t="s">
        <v>246</v>
      </c>
      <c r="D14" s="58" t="s">
        <v>221</v>
      </c>
      <c r="E14" s="58" t="s">
        <v>222</v>
      </c>
      <c r="F14" s="58">
        <v>64500</v>
      </c>
      <c r="H14" s="58" t="str">
        <f t="shared" si="0"/>
        <v>Expensive</v>
      </c>
      <c r="I14" s="58" t="str">
        <f t="shared" si="1"/>
        <v>Expensive</v>
      </c>
      <c r="J14" s="1" t="b">
        <f t="shared" si="2"/>
        <v>0</v>
      </c>
      <c r="K14" s="58" t="str">
        <f t="shared" si="3"/>
        <v>To be Checked</v>
      </c>
      <c r="L14" s="58" t="str">
        <f t="shared" si="4"/>
        <v>A</v>
      </c>
      <c r="M14" s="58" t="str">
        <f t="shared" si="5"/>
        <v>aarav.bhatt@gmail.com</v>
      </c>
      <c r="N14" s="58" t="str">
        <f t="shared" si="6"/>
        <v>Other</v>
      </c>
    </row>
    <row r="15" spans="1:14" x14ac:dyDescent="0.25">
      <c r="A15" s="58" t="s">
        <v>247</v>
      </c>
      <c r="B15" s="58" t="s">
        <v>248</v>
      </c>
      <c r="C15" s="58" t="s">
        <v>249</v>
      </c>
      <c r="D15" s="58" t="s">
        <v>210</v>
      </c>
      <c r="E15" s="58" t="s">
        <v>226</v>
      </c>
      <c r="F15" s="58">
        <v>13800</v>
      </c>
      <c r="H15" s="58" t="str">
        <f t="shared" si="0"/>
        <v>Economical</v>
      </c>
      <c r="I15" s="58" t="str">
        <f t="shared" si="1"/>
        <v>Economical</v>
      </c>
      <c r="J15" s="1" t="b">
        <f t="shared" si="2"/>
        <v>0</v>
      </c>
      <c r="K15" s="58" t="str">
        <f t="shared" si="3"/>
        <v>To be Checked</v>
      </c>
      <c r="L15" s="58" t="str">
        <f t="shared" si="4"/>
        <v>C</v>
      </c>
      <c r="M15" s="58" t="str">
        <f t="shared" si="5"/>
        <v>tanya.pillai@gmail.com</v>
      </c>
      <c r="N15" s="58" t="str">
        <f t="shared" si="6"/>
        <v>Other</v>
      </c>
    </row>
    <row r="16" spans="1:14" x14ac:dyDescent="0.25">
      <c r="A16" s="58" t="s">
        <v>250</v>
      </c>
      <c r="B16" s="58" t="s">
        <v>251</v>
      </c>
      <c r="C16" s="58" t="s">
        <v>252</v>
      </c>
      <c r="D16" s="58" t="s">
        <v>213</v>
      </c>
      <c r="E16" s="58" t="s">
        <v>226</v>
      </c>
      <c r="F16" s="58">
        <v>53400</v>
      </c>
      <c r="H16" s="58" t="str">
        <f t="shared" si="0"/>
        <v>Expensive</v>
      </c>
      <c r="I16" s="58" t="str">
        <f t="shared" si="1"/>
        <v>Expensive</v>
      </c>
      <c r="J16" s="1" t="b">
        <f t="shared" si="2"/>
        <v>0</v>
      </c>
      <c r="K16" s="58" t="str">
        <f t="shared" si="3"/>
        <v>To be Checked</v>
      </c>
      <c r="L16" s="58" t="str">
        <f t="shared" si="4"/>
        <v>B</v>
      </c>
      <c r="M16" s="58" t="str">
        <f t="shared" si="5"/>
        <v>kiran.shetty@gmail.com</v>
      </c>
      <c r="N16" s="58" t="str">
        <f t="shared" si="6"/>
        <v>Other</v>
      </c>
    </row>
    <row r="17" spans="1:14" x14ac:dyDescent="0.25">
      <c r="A17" s="58" t="s">
        <v>253</v>
      </c>
      <c r="B17" s="58" t="s">
        <v>17</v>
      </c>
      <c r="C17" s="58" t="s">
        <v>254</v>
      </c>
      <c r="D17" s="58" t="s">
        <v>217</v>
      </c>
      <c r="E17" s="58" t="s">
        <v>218</v>
      </c>
      <c r="F17" s="58">
        <v>67200</v>
      </c>
      <c r="H17" s="58" t="str">
        <f t="shared" si="0"/>
        <v>Expensive</v>
      </c>
      <c r="I17" s="58" t="str">
        <f t="shared" si="1"/>
        <v>Expensive</v>
      </c>
      <c r="J17" s="1" t="b">
        <f t="shared" si="2"/>
        <v>0</v>
      </c>
      <c r="K17" s="58" t="str">
        <f t="shared" si="3"/>
        <v>To be Checked</v>
      </c>
      <c r="L17" s="58" t="str">
        <f t="shared" si="4"/>
        <v>A</v>
      </c>
      <c r="M17" s="58" t="str">
        <f t="shared" si="5"/>
        <v>kavya.das@gmail.com</v>
      </c>
      <c r="N17" s="58" t="str">
        <f t="shared" si="6"/>
        <v>Other</v>
      </c>
    </row>
    <row r="18" spans="1:14" x14ac:dyDescent="0.25">
      <c r="A18" s="58" t="s">
        <v>255</v>
      </c>
      <c r="B18" s="58" t="s">
        <v>256</v>
      </c>
      <c r="C18" s="58" t="s">
        <v>257</v>
      </c>
      <c r="D18" s="58" t="s">
        <v>210</v>
      </c>
      <c r="E18" s="58" t="s">
        <v>214</v>
      </c>
      <c r="F18" s="58">
        <v>49250</v>
      </c>
      <c r="H18" s="58" t="str">
        <f t="shared" si="0"/>
        <v>Economical</v>
      </c>
      <c r="I18" s="58" t="str">
        <f t="shared" si="1"/>
        <v>Economical</v>
      </c>
      <c r="J18" s="1" t="b">
        <f t="shared" si="2"/>
        <v>0</v>
      </c>
      <c r="K18" s="58" t="str">
        <f t="shared" si="3"/>
        <v>Not to be Checked</v>
      </c>
      <c r="L18" s="58" t="str">
        <f t="shared" si="4"/>
        <v>C</v>
      </c>
      <c r="M18" s="58" t="str">
        <f t="shared" si="5"/>
        <v>tanmay.sinha@gmail.com</v>
      </c>
      <c r="N18" s="58" t="str">
        <f t="shared" si="6"/>
        <v>Other</v>
      </c>
    </row>
    <row r="19" spans="1:14" x14ac:dyDescent="0.25">
      <c r="A19" s="58" t="s">
        <v>258</v>
      </c>
      <c r="B19" s="58" t="s">
        <v>259</v>
      </c>
      <c r="C19" s="58" t="s">
        <v>260</v>
      </c>
      <c r="D19" s="58" t="s">
        <v>213</v>
      </c>
      <c r="E19" s="58" t="s">
        <v>226</v>
      </c>
      <c r="F19" s="58">
        <v>55100</v>
      </c>
      <c r="H19" s="58" t="str">
        <f t="shared" si="0"/>
        <v>Expensive</v>
      </c>
      <c r="I19" s="58" t="str">
        <f t="shared" si="1"/>
        <v>Expensive</v>
      </c>
      <c r="J19" s="1" t="b">
        <f t="shared" si="2"/>
        <v>0</v>
      </c>
      <c r="K19" s="58" t="str">
        <f t="shared" si="3"/>
        <v>To be Checked</v>
      </c>
      <c r="L19" s="58" t="str">
        <f t="shared" si="4"/>
        <v>B</v>
      </c>
      <c r="M19" s="58" t="str">
        <f t="shared" si="5"/>
        <v>nidhi.reddy@gmail.com</v>
      </c>
      <c r="N19" s="58" t="str">
        <f t="shared" si="6"/>
        <v>Other</v>
      </c>
    </row>
    <row r="20" spans="1:14" x14ac:dyDescent="0.25">
      <c r="A20" s="58" t="s">
        <v>261</v>
      </c>
      <c r="B20" s="58" t="s">
        <v>262</v>
      </c>
      <c r="C20" s="58" t="s">
        <v>263</v>
      </c>
      <c r="D20" s="58" t="s">
        <v>217</v>
      </c>
      <c r="E20" s="58" t="s">
        <v>218</v>
      </c>
      <c r="F20" s="58">
        <v>23800</v>
      </c>
      <c r="H20" s="58" t="str">
        <f t="shared" si="0"/>
        <v>Economical</v>
      </c>
      <c r="I20" s="58" t="str">
        <f t="shared" si="1"/>
        <v>Economical</v>
      </c>
      <c r="J20" s="1" t="b">
        <f t="shared" si="2"/>
        <v>0</v>
      </c>
      <c r="K20" s="58" t="str">
        <f t="shared" si="3"/>
        <v>To be Checked</v>
      </c>
      <c r="L20" s="58" t="str">
        <f t="shared" si="4"/>
        <v>C</v>
      </c>
      <c r="M20" s="58" t="str">
        <f t="shared" si="5"/>
        <v>yash.dube@gmail.com</v>
      </c>
      <c r="N20" s="58" t="str">
        <f t="shared" si="6"/>
        <v>Other</v>
      </c>
    </row>
    <row r="21" spans="1:14" x14ac:dyDescent="0.25">
      <c r="A21" s="58" t="s">
        <v>264</v>
      </c>
      <c r="B21" s="58" t="s">
        <v>265</v>
      </c>
      <c r="C21" s="58" t="s">
        <v>266</v>
      </c>
      <c r="D21" s="58" t="s">
        <v>210</v>
      </c>
      <c r="E21" s="58" t="s">
        <v>211</v>
      </c>
      <c r="F21" s="58">
        <v>68500</v>
      </c>
      <c r="H21" s="58" t="str">
        <f t="shared" si="0"/>
        <v>Expensive</v>
      </c>
      <c r="I21" s="58" t="str">
        <f t="shared" si="1"/>
        <v>Expensive</v>
      </c>
      <c r="J21" s="1" t="str">
        <f t="shared" si="2"/>
        <v>Flag</v>
      </c>
      <c r="K21" s="58" t="str">
        <f t="shared" si="3"/>
        <v>To be Checked</v>
      </c>
      <c r="L21" s="58" t="str">
        <f t="shared" si="4"/>
        <v>A</v>
      </c>
      <c r="M21" s="58" t="str">
        <f t="shared" si="5"/>
        <v>mehul.chauhan@gmail.com</v>
      </c>
      <c r="N21" s="58" t="str">
        <f t="shared" si="6"/>
        <v>Other</v>
      </c>
    </row>
    <row r="22" spans="1:14" x14ac:dyDescent="0.25">
      <c r="A22" s="58" t="s">
        <v>267</v>
      </c>
      <c r="B22" s="58" t="s">
        <v>268</v>
      </c>
      <c r="C22" s="58" t="s">
        <v>269</v>
      </c>
      <c r="D22" s="58" t="s">
        <v>221</v>
      </c>
      <c r="E22" s="58" t="s">
        <v>222</v>
      </c>
      <c r="F22" s="58">
        <v>70500</v>
      </c>
      <c r="H22" s="58" t="str">
        <f t="shared" si="0"/>
        <v>Expensive</v>
      </c>
      <c r="I22" s="58" t="str">
        <f t="shared" si="1"/>
        <v>Expensive</v>
      </c>
      <c r="J22" s="1" t="b">
        <f t="shared" si="2"/>
        <v>0</v>
      </c>
      <c r="K22" s="58" t="str">
        <f t="shared" si="3"/>
        <v>To be Checked</v>
      </c>
      <c r="L22" s="58" t="str">
        <f t="shared" si="4"/>
        <v>A</v>
      </c>
      <c r="M22" s="58" t="str">
        <f t="shared" si="5"/>
        <v>payal.trivedi@gmail.com</v>
      </c>
      <c r="N22" s="58" t="str">
        <f t="shared" si="6"/>
        <v>Other</v>
      </c>
    </row>
    <row r="23" spans="1:14" x14ac:dyDescent="0.25">
      <c r="A23" s="58" t="s">
        <v>270</v>
      </c>
      <c r="B23" s="58" t="s">
        <v>271</v>
      </c>
      <c r="C23" s="58" t="s">
        <v>272</v>
      </c>
      <c r="D23" s="58" t="s">
        <v>217</v>
      </c>
      <c r="E23" s="58" t="s">
        <v>218</v>
      </c>
      <c r="F23" s="58">
        <v>89500</v>
      </c>
      <c r="H23" s="58" t="str">
        <f t="shared" si="0"/>
        <v>Expensive</v>
      </c>
      <c r="I23" s="58" t="str">
        <f t="shared" si="1"/>
        <v>Expensive</v>
      </c>
      <c r="J23" s="1" t="b">
        <f t="shared" si="2"/>
        <v>0</v>
      </c>
      <c r="K23" s="58" t="str">
        <f t="shared" si="3"/>
        <v>To be Checked</v>
      </c>
      <c r="L23" s="58" t="str">
        <f t="shared" si="4"/>
        <v>A</v>
      </c>
      <c r="M23" s="58" t="str">
        <f t="shared" si="5"/>
        <v>tarun.kulkarni@gmail.com</v>
      </c>
      <c r="N23" s="58" t="str">
        <f t="shared" si="6"/>
        <v>Other</v>
      </c>
    </row>
    <row r="24" spans="1:14" x14ac:dyDescent="0.25">
      <c r="A24" s="58" t="s">
        <v>273</v>
      </c>
      <c r="B24" s="58" t="s">
        <v>274</v>
      </c>
      <c r="C24" s="58" t="s">
        <v>275</v>
      </c>
      <c r="D24" s="58" t="s">
        <v>213</v>
      </c>
      <c r="E24" s="58" t="s">
        <v>214</v>
      </c>
      <c r="F24" s="58">
        <v>46750</v>
      </c>
      <c r="H24" s="58" t="str">
        <f t="shared" si="0"/>
        <v>Economical</v>
      </c>
      <c r="I24" s="58" t="str">
        <f t="shared" si="1"/>
        <v>Economical</v>
      </c>
      <c r="J24" s="1" t="b">
        <f t="shared" si="2"/>
        <v>0</v>
      </c>
      <c r="K24" s="58" t="str">
        <f t="shared" si="3"/>
        <v>Not to be Checked</v>
      </c>
      <c r="L24" s="58" t="str">
        <f t="shared" si="4"/>
        <v>C</v>
      </c>
      <c r="M24" s="58" t="str">
        <f t="shared" si="5"/>
        <v>reema.patil@gmail.com</v>
      </c>
      <c r="N24" s="58" t="str">
        <f t="shared" si="6"/>
        <v>Other</v>
      </c>
    </row>
    <row r="25" spans="1:14" x14ac:dyDescent="0.25">
      <c r="A25" s="58" t="s">
        <v>276</v>
      </c>
      <c r="B25" s="58" t="s">
        <v>277</v>
      </c>
      <c r="C25" s="58" t="s">
        <v>278</v>
      </c>
      <c r="D25" s="58" t="s">
        <v>221</v>
      </c>
      <c r="E25" s="58" t="s">
        <v>226</v>
      </c>
      <c r="F25" s="58">
        <v>58900</v>
      </c>
      <c r="H25" s="58" t="str">
        <f t="shared" si="0"/>
        <v>Expensive</v>
      </c>
      <c r="I25" s="58" t="str">
        <f t="shared" si="1"/>
        <v>Expensive</v>
      </c>
      <c r="J25" s="1" t="b">
        <f t="shared" si="2"/>
        <v>0</v>
      </c>
      <c r="K25" s="58" t="str">
        <f t="shared" si="3"/>
        <v>To be Checked</v>
      </c>
      <c r="L25" s="58" t="str">
        <f t="shared" si="4"/>
        <v>B</v>
      </c>
      <c r="M25" s="58" t="str">
        <f t="shared" si="5"/>
        <v>bhavya.bhatia@gmail.com</v>
      </c>
      <c r="N25" s="58" t="str">
        <f t="shared" si="6"/>
        <v>Other</v>
      </c>
    </row>
    <row r="26" spans="1:14" x14ac:dyDescent="0.25">
      <c r="A26" s="58" t="s">
        <v>279</v>
      </c>
      <c r="B26" s="58" t="s">
        <v>280</v>
      </c>
      <c r="C26" s="58" t="s">
        <v>281</v>
      </c>
      <c r="D26" s="58" t="s">
        <v>210</v>
      </c>
      <c r="E26" s="58" t="s">
        <v>222</v>
      </c>
      <c r="F26" s="58">
        <v>63100</v>
      </c>
      <c r="H26" s="58" t="str">
        <f t="shared" si="0"/>
        <v>Expensive</v>
      </c>
      <c r="I26" s="58" t="str">
        <f t="shared" si="1"/>
        <v>Expensive</v>
      </c>
      <c r="J26" s="1" t="b">
        <f t="shared" si="2"/>
        <v>0</v>
      </c>
      <c r="K26" s="58" t="str">
        <f t="shared" si="3"/>
        <v>To be Checked</v>
      </c>
      <c r="L26" s="58" t="str">
        <f t="shared" si="4"/>
        <v>A</v>
      </c>
      <c r="M26" s="58" t="str">
        <f t="shared" si="5"/>
        <v>rahul.srivastava@gmail.com</v>
      </c>
      <c r="N26" s="58" t="str">
        <f t="shared" si="6"/>
        <v>Other</v>
      </c>
    </row>
  </sheetData>
  <conditionalFormatting sqref="H2:H1048576">
    <cfRule type="containsText" dxfId="4" priority="8" operator="containsText" text="Expensive">
      <formula>NOT(ISERROR(SEARCH("Expensive",H2)))</formula>
    </cfRule>
  </conditionalFormatting>
  <conditionalFormatting sqref="I2:I26">
    <cfRule type="containsText" dxfId="3" priority="7" operator="containsText" text="Expensive">
      <formula>NOT(ISERROR(SEARCH("Expensive",I2)))</formula>
    </cfRule>
  </conditionalFormatting>
  <conditionalFormatting sqref="J1:J1048576">
    <cfRule type="containsText" dxfId="2" priority="3" operator="containsText" text="Flag">
      <formula>NOT(ISERROR(SEARCH("Flag",J1)))</formula>
    </cfRule>
  </conditionalFormatting>
  <conditionalFormatting sqref="K1">
    <cfRule type="containsText" dxfId="1" priority="2" operator="containsText" text="Flag">
      <formula>NOT(ISERROR(SEARCH("Flag",K1)))</formula>
    </cfRule>
  </conditionalFormatting>
  <conditionalFormatting sqref="L1:N1">
    <cfRule type="containsText" dxfId="0" priority="1" operator="containsText" text="Flag">
      <formula>NOT(ISERROR(SEARCH("Flag",L1)))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62887-A505-4943-9481-617A59F0DB4F}">
  <dimension ref="B2:F7"/>
  <sheetViews>
    <sheetView zoomScale="209" zoomScaleNormal="209" workbookViewId="0">
      <selection activeCell="B2" sqref="B2:C7"/>
    </sheetView>
  </sheetViews>
  <sheetFormatPr defaultRowHeight="15" x14ac:dyDescent="0.25"/>
  <cols>
    <col min="6" max="6" width="11.7109375" bestFit="1" customWidth="1"/>
  </cols>
  <sheetData>
    <row r="2" spans="2:6" x14ac:dyDescent="0.25">
      <c r="B2" s="32" t="s">
        <v>172</v>
      </c>
      <c r="C2" s="32" t="s">
        <v>173</v>
      </c>
      <c r="D2" s="32" t="s">
        <v>174</v>
      </c>
      <c r="E2" s="32" t="s">
        <v>176</v>
      </c>
      <c r="F2" s="45" t="s">
        <v>177</v>
      </c>
    </row>
    <row r="3" spans="2:6" x14ac:dyDescent="0.25">
      <c r="B3" s="7">
        <v>500</v>
      </c>
      <c r="C3" s="7">
        <v>10</v>
      </c>
      <c r="D3" s="7">
        <f>B3/C3</f>
        <v>50</v>
      </c>
      <c r="E3" s="7">
        <f>IFERROR(B3/C3,0)</f>
        <v>50</v>
      </c>
      <c r="F3">
        <f xml:space="preserve"> IFERROR(B3/C3,"Error")</f>
        <v>50</v>
      </c>
    </row>
    <row r="4" spans="2:6" x14ac:dyDescent="0.25">
      <c r="B4" s="7">
        <v>265</v>
      </c>
      <c r="C4" s="7">
        <v>2</v>
      </c>
      <c r="D4" s="7">
        <f t="shared" ref="D4:D7" si="0">B4/C4</f>
        <v>132.5</v>
      </c>
      <c r="E4" s="7">
        <f t="shared" ref="E4:E7" si="1">IFERROR(B4/C4,0)</f>
        <v>132.5</v>
      </c>
      <c r="F4">
        <f t="shared" ref="F4:F7" si="2" xml:space="preserve"> IFERROR(B4/C4,"Error")</f>
        <v>132.5</v>
      </c>
    </row>
    <row r="5" spans="2:6" x14ac:dyDescent="0.25">
      <c r="B5" s="7">
        <v>362</v>
      </c>
      <c r="C5" s="7">
        <v>0</v>
      </c>
      <c r="D5" s="7" t="e">
        <f t="shared" si="0"/>
        <v>#DIV/0!</v>
      </c>
      <c r="E5" s="7">
        <f t="shared" si="1"/>
        <v>0</v>
      </c>
      <c r="F5" t="str">
        <f t="shared" si="2"/>
        <v>Error</v>
      </c>
    </row>
    <row r="6" spans="2:6" x14ac:dyDescent="0.25">
      <c r="B6" s="7">
        <v>854</v>
      </c>
      <c r="C6" s="7" t="s">
        <v>175</v>
      </c>
      <c r="D6" s="7" t="e">
        <f t="shared" si="0"/>
        <v>#VALUE!</v>
      </c>
      <c r="E6" s="7">
        <f t="shared" si="1"/>
        <v>0</v>
      </c>
      <c r="F6" t="str">
        <f t="shared" si="2"/>
        <v>Error</v>
      </c>
    </row>
    <row r="7" spans="2:6" x14ac:dyDescent="0.25">
      <c r="B7" s="7">
        <v>600</v>
      </c>
      <c r="C7" s="7">
        <v>30</v>
      </c>
      <c r="D7" s="7">
        <f t="shared" si="0"/>
        <v>20</v>
      </c>
      <c r="E7" s="7">
        <f t="shared" si="1"/>
        <v>20</v>
      </c>
      <c r="F7">
        <f t="shared" si="2"/>
        <v>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77DF3-F614-4752-ABAA-E45EF6540F72}">
  <dimension ref="A1:P17"/>
  <sheetViews>
    <sheetView zoomScale="130" zoomScaleNormal="130" workbookViewId="0">
      <selection activeCell="L16" sqref="L16"/>
    </sheetView>
  </sheetViews>
  <sheetFormatPr defaultRowHeight="15" x14ac:dyDescent="0.25"/>
  <cols>
    <col min="3" max="3" width="4.42578125" bestFit="1" customWidth="1"/>
    <col min="4" max="4" width="5.42578125" bestFit="1" customWidth="1"/>
    <col min="5" max="5" width="7" bestFit="1" customWidth="1"/>
    <col min="6" max="7" width="10.28515625" bestFit="1" customWidth="1"/>
    <col min="8" max="8" width="9.42578125" bestFit="1" customWidth="1"/>
    <col min="9" max="9" width="24.42578125" bestFit="1" customWidth="1"/>
  </cols>
  <sheetData>
    <row r="1" spans="1:16" x14ac:dyDescent="0.25">
      <c r="I1" s="17"/>
    </row>
    <row r="2" spans="1:16" x14ac:dyDescent="0.25">
      <c r="A2" s="41" t="s">
        <v>80</v>
      </c>
      <c r="B2" s="41" t="s">
        <v>81</v>
      </c>
      <c r="C2" s="41" t="s">
        <v>82</v>
      </c>
      <c r="D2" s="41" t="s">
        <v>83</v>
      </c>
      <c r="E2" s="41" t="s">
        <v>84</v>
      </c>
      <c r="F2" s="41" t="s">
        <v>85</v>
      </c>
      <c r="G2" s="41" t="s">
        <v>86</v>
      </c>
      <c r="H2" s="41" t="s">
        <v>87</v>
      </c>
      <c r="I2" s="42"/>
    </row>
    <row r="3" spans="1:16" x14ac:dyDescent="0.25">
      <c r="A3" s="7" t="s">
        <v>89</v>
      </c>
      <c r="B3" s="7" t="s">
        <v>90</v>
      </c>
      <c r="C3" s="7">
        <v>17</v>
      </c>
      <c r="D3" s="7" t="s">
        <v>91</v>
      </c>
      <c r="E3" s="7" t="s">
        <v>92</v>
      </c>
      <c r="F3" s="7">
        <v>55</v>
      </c>
      <c r="G3" s="7">
        <v>99</v>
      </c>
      <c r="H3" s="7">
        <v>100</v>
      </c>
    </row>
    <row r="4" spans="1:16" x14ac:dyDescent="0.25">
      <c r="A4" s="7" t="s">
        <v>94</v>
      </c>
      <c r="B4" s="7" t="s">
        <v>95</v>
      </c>
      <c r="C4" s="7">
        <v>18</v>
      </c>
      <c r="D4" s="7" t="s">
        <v>96</v>
      </c>
      <c r="E4" s="7" t="s">
        <v>97</v>
      </c>
      <c r="F4" s="7">
        <v>22</v>
      </c>
      <c r="G4" s="7">
        <v>48</v>
      </c>
      <c r="H4" s="7">
        <v>72</v>
      </c>
    </row>
    <row r="5" spans="1:16" x14ac:dyDescent="0.25">
      <c r="A5" s="7" t="s">
        <v>99</v>
      </c>
      <c r="B5" s="7" t="s">
        <v>95</v>
      </c>
      <c r="C5" s="7">
        <v>17</v>
      </c>
      <c r="D5" s="7" t="s">
        <v>100</v>
      </c>
      <c r="E5" s="7" t="s">
        <v>101</v>
      </c>
      <c r="F5" s="7">
        <v>91</v>
      </c>
      <c r="G5" s="7">
        <v>68</v>
      </c>
      <c r="H5" s="7">
        <v>7</v>
      </c>
      <c r="N5" s="41" t="s">
        <v>80</v>
      </c>
      <c r="O5" s="41" t="s">
        <v>87</v>
      </c>
    </row>
    <row r="6" spans="1:16" x14ac:dyDescent="0.25">
      <c r="A6" s="7" t="s">
        <v>103</v>
      </c>
      <c r="B6" s="7" t="s">
        <v>90</v>
      </c>
      <c r="C6" s="7">
        <v>16</v>
      </c>
      <c r="D6" s="7" t="s">
        <v>104</v>
      </c>
      <c r="E6" s="7" t="s">
        <v>101</v>
      </c>
      <c r="F6" s="7">
        <v>45</v>
      </c>
      <c r="G6" s="7">
        <v>58</v>
      </c>
      <c r="H6" s="7">
        <v>79</v>
      </c>
      <c r="N6" s="7" t="s">
        <v>89</v>
      </c>
      <c r="O6" s="7">
        <f>VLOOKUP(N6,$A2:$H17,8,0)</f>
        <v>100</v>
      </c>
      <c r="P6">
        <f>VLOOKUP(N6,A3:H17,8,0)</f>
        <v>100</v>
      </c>
    </row>
    <row r="7" spans="1:16" x14ac:dyDescent="0.25">
      <c r="A7" s="7" t="s">
        <v>106</v>
      </c>
      <c r="B7" s="7" t="s">
        <v>90</v>
      </c>
      <c r="C7" s="7">
        <v>18</v>
      </c>
      <c r="D7" s="7" t="s">
        <v>107</v>
      </c>
      <c r="E7" s="7" t="s">
        <v>97</v>
      </c>
      <c r="F7" s="7">
        <v>93</v>
      </c>
      <c r="G7" s="7">
        <v>20</v>
      </c>
      <c r="H7" s="7">
        <v>55</v>
      </c>
      <c r="N7" s="7" t="s">
        <v>13</v>
      </c>
      <c r="O7" s="7">
        <f t="shared" ref="O7:O10" si="0">VLOOKUP(N7,$A3:$H18,8,0)</f>
        <v>68</v>
      </c>
      <c r="P7">
        <f t="shared" ref="P7:P10" si="1">VLOOKUP(N7,A4:H18,8,0)</f>
        <v>68</v>
      </c>
    </row>
    <row r="8" spans="1:16" x14ac:dyDescent="0.25">
      <c r="A8" s="7" t="s">
        <v>109</v>
      </c>
      <c r="B8" s="7" t="s">
        <v>95</v>
      </c>
      <c r="C8" s="7">
        <v>16</v>
      </c>
      <c r="D8" s="7" t="s">
        <v>91</v>
      </c>
      <c r="E8" s="7" t="s">
        <v>97</v>
      </c>
      <c r="F8" s="7">
        <v>96</v>
      </c>
      <c r="G8" s="7">
        <v>57</v>
      </c>
      <c r="H8" s="7">
        <v>65</v>
      </c>
      <c r="N8" s="7" t="s">
        <v>124</v>
      </c>
      <c r="O8" s="7">
        <f t="shared" si="0"/>
        <v>42</v>
      </c>
      <c r="P8">
        <f t="shared" si="1"/>
        <v>42</v>
      </c>
    </row>
    <row r="9" spans="1:16" x14ac:dyDescent="0.25">
      <c r="A9" s="7" t="s">
        <v>111</v>
      </c>
      <c r="B9" s="7" t="s">
        <v>90</v>
      </c>
      <c r="C9" s="7">
        <v>18</v>
      </c>
      <c r="D9" s="7" t="s">
        <v>100</v>
      </c>
      <c r="E9" s="7" t="s">
        <v>112</v>
      </c>
      <c r="F9" s="7">
        <v>42</v>
      </c>
      <c r="G9" s="7">
        <v>37</v>
      </c>
      <c r="H9" s="7">
        <v>4</v>
      </c>
      <c r="N9" s="7" t="s">
        <v>111</v>
      </c>
      <c r="O9" s="7">
        <f t="shared" si="0"/>
        <v>4</v>
      </c>
      <c r="P9">
        <f t="shared" si="1"/>
        <v>4</v>
      </c>
    </row>
    <row r="10" spans="1:16" x14ac:dyDescent="0.25">
      <c r="A10" s="7" t="s">
        <v>11</v>
      </c>
      <c r="B10" s="7" t="s">
        <v>95</v>
      </c>
      <c r="C10" s="7">
        <v>17</v>
      </c>
      <c r="D10" s="7" t="s">
        <v>114</v>
      </c>
      <c r="E10" s="7" t="s">
        <v>97</v>
      </c>
      <c r="F10" s="7">
        <v>61</v>
      </c>
      <c r="G10" s="7">
        <v>91</v>
      </c>
      <c r="H10" s="7">
        <v>42</v>
      </c>
      <c r="N10" s="7" t="s">
        <v>15</v>
      </c>
      <c r="O10" s="7">
        <f t="shared" si="0"/>
        <v>49</v>
      </c>
      <c r="P10">
        <f t="shared" si="1"/>
        <v>49</v>
      </c>
    </row>
    <row r="11" spans="1:16" x14ac:dyDescent="0.25">
      <c r="A11" s="7" t="s">
        <v>15</v>
      </c>
      <c r="B11" s="7" t="s">
        <v>90</v>
      </c>
      <c r="C11" s="7">
        <v>15</v>
      </c>
      <c r="D11" s="7" t="s">
        <v>91</v>
      </c>
      <c r="E11" s="7" t="s">
        <v>97</v>
      </c>
      <c r="F11" s="7">
        <v>19</v>
      </c>
      <c r="G11" s="7">
        <v>46</v>
      </c>
      <c r="H11" s="7">
        <v>49</v>
      </c>
    </row>
    <row r="12" spans="1:16" x14ac:dyDescent="0.25">
      <c r="A12" s="7" t="s">
        <v>117</v>
      </c>
      <c r="B12" s="7" t="s">
        <v>90</v>
      </c>
      <c r="C12" s="7">
        <v>16</v>
      </c>
      <c r="D12" s="7" t="s">
        <v>96</v>
      </c>
      <c r="E12" s="7" t="s">
        <v>112</v>
      </c>
      <c r="F12" s="7">
        <v>15</v>
      </c>
      <c r="G12" s="7">
        <v>73</v>
      </c>
      <c r="H12" s="7">
        <v>52</v>
      </c>
    </row>
    <row r="13" spans="1:16" x14ac:dyDescent="0.25">
      <c r="A13" s="7" t="s">
        <v>119</v>
      </c>
      <c r="B13" s="7" t="s">
        <v>90</v>
      </c>
      <c r="C13" s="7">
        <v>16</v>
      </c>
      <c r="D13" s="7" t="s">
        <v>114</v>
      </c>
      <c r="E13" s="7" t="s">
        <v>101</v>
      </c>
      <c r="F13" s="7">
        <v>84</v>
      </c>
      <c r="G13" s="7">
        <v>31</v>
      </c>
      <c r="H13" s="7">
        <v>98</v>
      </c>
    </row>
    <row r="14" spans="1:16" x14ac:dyDescent="0.25">
      <c r="A14" s="7" t="s">
        <v>13</v>
      </c>
      <c r="B14" s="7" t="s">
        <v>95</v>
      </c>
      <c r="C14" s="7">
        <v>18</v>
      </c>
      <c r="D14" s="7" t="s">
        <v>100</v>
      </c>
      <c r="E14" s="7" t="s">
        <v>97</v>
      </c>
      <c r="F14" s="7">
        <v>7</v>
      </c>
      <c r="G14" s="7">
        <v>60</v>
      </c>
      <c r="H14" s="7">
        <v>68</v>
      </c>
    </row>
    <row r="15" spans="1:16" x14ac:dyDescent="0.25">
      <c r="A15" s="7" t="s">
        <v>122</v>
      </c>
      <c r="B15" s="7" t="s">
        <v>95</v>
      </c>
      <c r="C15" s="7">
        <v>15</v>
      </c>
      <c r="D15" s="7" t="s">
        <v>104</v>
      </c>
      <c r="E15" s="7" t="s">
        <v>101</v>
      </c>
      <c r="F15" s="7">
        <v>50</v>
      </c>
      <c r="G15" s="7">
        <v>80</v>
      </c>
      <c r="H15" s="7">
        <v>37</v>
      </c>
    </row>
    <row r="16" spans="1:16" x14ac:dyDescent="0.25">
      <c r="A16" s="7" t="s">
        <v>124</v>
      </c>
      <c r="B16" s="7" t="s">
        <v>95</v>
      </c>
      <c r="C16" s="7">
        <v>16</v>
      </c>
      <c r="D16" s="7" t="s">
        <v>104</v>
      </c>
      <c r="E16" s="7" t="s">
        <v>97</v>
      </c>
      <c r="F16" s="7">
        <v>99</v>
      </c>
      <c r="G16" s="7">
        <v>52</v>
      </c>
      <c r="H16" s="7">
        <v>42</v>
      </c>
    </row>
    <row r="17" spans="1:8" x14ac:dyDescent="0.25">
      <c r="A17" s="7" t="s">
        <v>126</v>
      </c>
      <c r="B17" s="7" t="s">
        <v>90</v>
      </c>
      <c r="C17" s="7">
        <v>16</v>
      </c>
      <c r="D17" s="7" t="s">
        <v>91</v>
      </c>
      <c r="E17" s="7" t="s">
        <v>112</v>
      </c>
      <c r="F17" s="7">
        <v>11</v>
      </c>
      <c r="G17" s="7">
        <v>71</v>
      </c>
      <c r="H17" s="7">
        <v>76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5EF9E-9739-4A24-97F6-51F82DF045F9}">
  <dimension ref="A2:H17"/>
  <sheetViews>
    <sheetView zoomScale="120" zoomScaleNormal="120" workbookViewId="0">
      <selection activeCell="A2" sqref="A2:H17"/>
    </sheetView>
  </sheetViews>
  <sheetFormatPr defaultRowHeight="15" x14ac:dyDescent="0.25"/>
  <sheetData>
    <row r="2" spans="1:8" ht="15.75" x14ac:dyDescent="0.25">
      <c r="A2" s="43" t="s">
        <v>80</v>
      </c>
      <c r="B2" s="25" t="s">
        <v>81</v>
      </c>
      <c r="C2" s="25" t="s">
        <v>82</v>
      </c>
      <c r="D2" s="25" t="s">
        <v>83</v>
      </c>
      <c r="E2" s="25" t="s">
        <v>84</v>
      </c>
      <c r="F2" s="25" t="s">
        <v>85</v>
      </c>
      <c r="G2" s="25" t="s">
        <v>86</v>
      </c>
      <c r="H2" s="25" t="s">
        <v>87</v>
      </c>
    </row>
    <row r="3" spans="1:8" x14ac:dyDescent="0.25">
      <c r="A3" s="26" t="s">
        <v>89</v>
      </c>
      <c r="B3" s="26" t="s">
        <v>90</v>
      </c>
      <c r="C3" s="26">
        <v>17</v>
      </c>
      <c r="D3" s="26" t="s">
        <v>91</v>
      </c>
      <c r="E3" s="26" t="s">
        <v>92</v>
      </c>
      <c r="F3" s="26">
        <v>55</v>
      </c>
      <c r="G3" s="26">
        <v>99</v>
      </c>
      <c r="H3" s="26">
        <v>100</v>
      </c>
    </row>
    <row r="4" spans="1:8" x14ac:dyDescent="0.25">
      <c r="A4" s="27" t="s">
        <v>94</v>
      </c>
      <c r="B4" s="27" t="s">
        <v>95</v>
      </c>
      <c r="C4" s="27">
        <v>18</v>
      </c>
      <c r="D4" s="27" t="s">
        <v>96</v>
      </c>
      <c r="E4" s="27" t="s">
        <v>97</v>
      </c>
      <c r="F4" s="27">
        <v>22</v>
      </c>
      <c r="G4" s="27">
        <v>48</v>
      </c>
      <c r="H4" s="27">
        <v>72</v>
      </c>
    </row>
    <row r="5" spans="1:8" x14ac:dyDescent="0.25">
      <c r="A5" s="26" t="s">
        <v>99</v>
      </c>
      <c r="B5" s="26" t="s">
        <v>95</v>
      </c>
      <c r="C5" s="26">
        <v>17</v>
      </c>
      <c r="D5" s="26" t="s">
        <v>100</v>
      </c>
      <c r="E5" s="26" t="s">
        <v>101</v>
      </c>
      <c r="F5" s="26">
        <v>91</v>
      </c>
      <c r="G5" s="26">
        <v>68</v>
      </c>
      <c r="H5" s="26">
        <v>7</v>
      </c>
    </row>
    <row r="6" spans="1:8" x14ac:dyDescent="0.25">
      <c r="A6" s="27" t="s">
        <v>103</v>
      </c>
      <c r="B6" s="27" t="s">
        <v>90</v>
      </c>
      <c r="C6" s="27">
        <v>16</v>
      </c>
      <c r="D6" s="27" t="s">
        <v>104</v>
      </c>
      <c r="E6" s="27" t="s">
        <v>101</v>
      </c>
      <c r="F6" s="27">
        <v>45</v>
      </c>
      <c r="G6" s="27">
        <v>58</v>
      </c>
      <c r="H6" s="27">
        <v>79</v>
      </c>
    </row>
    <row r="7" spans="1:8" x14ac:dyDescent="0.25">
      <c r="A7" s="26" t="s">
        <v>106</v>
      </c>
      <c r="B7" s="26" t="s">
        <v>90</v>
      </c>
      <c r="C7" s="26">
        <v>18</v>
      </c>
      <c r="D7" s="26" t="s">
        <v>107</v>
      </c>
      <c r="E7" s="26" t="s">
        <v>97</v>
      </c>
      <c r="F7" s="26">
        <v>93</v>
      </c>
      <c r="G7" s="26">
        <v>20</v>
      </c>
      <c r="H7" s="26">
        <v>55</v>
      </c>
    </row>
    <row r="8" spans="1:8" x14ac:dyDescent="0.25">
      <c r="A8" s="27" t="s">
        <v>109</v>
      </c>
      <c r="B8" s="27" t="s">
        <v>95</v>
      </c>
      <c r="C8" s="27">
        <v>16</v>
      </c>
      <c r="D8" s="27" t="s">
        <v>91</v>
      </c>
      <c r="E8" s="27" t="s">
        <v>97</v>
      </c>
      <c r="F8" s="27">
        <v>96</v>
      </c>
      <c r="G8" s="27">
        <v>57</v>
      </c>
      <c r="H8" s="27">
        <v>65</v>
      </c>
    </row>
    <row r="9" spans="1:8" x14ac:dyDescent="0.25">
      <c r="A9" s="26" t="s">
        <v>111</v>
      </c>
      <c r="B9" s="26" t="s">
        <v>90</v>
      </c>
      <c r="C9" s="26">
        <v>18</v>
      </c>
      <c r="D9" s="26" t="s">
        <v>100</v>
      </c>
      <c r="E9" s="26" t="s">
        <v>112</v>
      </c>
      <c r="F9" s="26">
        <v>42</v>
      </c>
      <c r="G9" s="26">
        <v>37</v>
      </c>
      <c r="H9" s="26">
        <v>4</v>
      </c>
    </row>
    <row r="10" spans="1:8" x14ac:dyDescent="0.25">
      <c r="A10" s="27" t="s">
        <v>11</v>
      </c>
      <c r="B10" s="27" t="s">
        <v>95</v>
      </c>
      <c r="C10" s="27">
        <v>17</v>
      </c>
      <c r="D10" s="27" t="s">
        <v>114</v>
      </c>
      <c r="E10" s="27" t="s">
        <v>97</v>
      </c>
      <c r="F10" s="27">
        <v>61</v>
      </c>
      <c r="G10" s="27">
        <v>91</v>
      </c>
      <c r="H10" s="27">
        <v>42</v>
      </c>
    </row>
    <row r="11" spans="1:8" x14ac:dyDescent="0.25">
      <c r="A11" s="26" t="s">
        <v>15</v>
      </c>
      <c r="B11" s="26" t="s">
        <v>90</v>
      </c>
      <c r="C11" s="26">
        <v>15</v>
      </c>
      <c r="D11" s="26" t="s">
        <v>91</v>
      </c>
      <c r="E11" s="26" t="s">
        <v>97</v>
      </c>
      <c r="F11" s="26">
        <v>19</v>
      </c>
      <c r="G11" s="26">
        <v>46</v>
      </c>
      <c r="H11" s="26">
        <v>49</v>
      </c>
    </row>
    <row r="12" spans="1:8" x14ac:dyDescent="0.25">
      <c r="A12" s="27" t="s">
        <v>117</v>
      </c>
      <c r="B12" s="27" t="s">
        <v>90</v>
      </c>
      <c r="C12" s="27">
        <v>16</v>
      </c>
      <c r="D12" s="27" t="s">
        <v>96</v>
      </c>
      <c r="E12" s="27" t="s">
        <v>112</v>
      </c>
      <c r="F12" s="27">
        <v>15</v>
      </c>
      <c r="G12" s="27">
        <v>73</v>
      </c>
      <c r="H12" s="27">
        <v>52</v>
      </c>
    </row>
    <row r="13" spans="1:8" x14ac:dyDescent="0.25">
      <c r="A13" s="26" t="s">
        <v>119</v>
      </c>
      <c r="B13" s="26" t="s">
        <v>90</v>
      </c>
      <c r="C13" s="26">
        <v>16</v>
      </c>
      <c r="D13" s="26" t="s">
        <v>114</v>
      </c>
      <c r="E13" s="26" t="s">
        <v>101</v>
      </c>
      <c r="F13" s="26">
        <v>84</v>
      </c>
      <c r="G13" s="26">
        <v>31</v>
      </c>
      <c r="H13" s="26">
        <v>98</v>
      </c>
    </row>
    <row r="14" spans="1:8" x14ac:dyDescent="0.25">
      <c r="A14" s="27" t="s">
        <v>13</v>
      </c>
      <c r="B14" s="27" t="s">
        <v>95</v>
      </c>
      <c r="C14" s="27">
        <v>18</v>
      </c>
      <c r="D14" s="27" t="s">
        <v>100</v>
      </c>
      <c r="E14" s="27" t="s">
        <v>97</v>
      </c>
      <c r="F14" s="27">
        <v>7</v>
      </c>
      <c r="G14" s="27">
        <v>60</v>
      </c>
      <c r="H14" s="27">
        <v>68</v>
      </c>
    </row>
    <row r="15" spans="1:8" x14ac:dyDescent="0.25">
      <c r="A15" s="26" t="s">
        <v>122</v>
      </c>
      <c r="B15" s="26" t="s">
        <v>95</v>
      </c>
      <c r="C15" s="26">
        <v>15</v>
      </c>
      <c r="D15" s="26" t="s">
        <v>104</v>
      </c>
      <c r="E15" s="26" t="s">
        <v>101</v>
      </c>
      <c r="F15" s="26">
        <v>50</v>
      </c>
      <c r="G15" s="26">
        <v>80</v>
      </c>
      <c r="H15" s="26">
        <v>37</v>
      </c>
    </row>
    <row r="16" spans="1:8" x14ac:dyDescent="0.25">
      <c r="A16" s="27" t="s">
        <v>124</v>
      </c>
      <c r="B16" s="27" t="s">
        <v>95</v>
      </c>
      <c r="C16" s="27">
        <v>16</v>
      </c>
      <c r="D16" s="27" t="s">
        <v>104</v>
      </c>
      <c r="E16" s="27" t="s">
        <v>97</v>
      </c>
      <c r="F16" s="27">
        <v>99</v>
      </c>
      <c r="G16" s="27">
        <v>52</v>
      </c>
      <c r="H16" s="27">
        <v>42</v>
      </c>
    </row>
    <row r="17" spans="1:8" x14ac:dyDescent="0.25">
      <c r="A17" s="26" t="s">
        <v>126</v>
      </c>
      <c r="B17" s="26" t="s">
        <v>90</v>
      </c>
      <c r="C17" s="26">
        <v>16</v>
      </c>
      <c r="D17" s="26" t="s">
        <v>91</v>
      </c>
      <c r="E17" s="26" t="s">
        <v>112</v>
      </c>
      <c r="F17" s="26">
        <v>11</v>
      </c>
      <c r="G17" s="26">
        <v>71</v>
      </c>
      <c r="H17" s="26">
        <v>76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9D35A-9169-4374-8E1F-963ED4A93816}">
  <dimension ref="A3:C14"/>
  <sheetViews>
    <sheetView workbookViewId="0">
      <selection activeCell="C7" sqref="C7"/>
    </sheetView>
  </sheetViews>
  <sheetFormatPr defaultRowHeight="15" x14ac:dyDescent="0.25"/>
  <cols>
    <col min="1" max="1" width="13.140625" bestFit="1" customWidth="1"/>
    <col min="2" max="2" width="10" bestFit="1" customWidth="1"/>
    <col min="3" max="3" width="16.140625" bestFit="1" customWidth="1"/>
    <col min="4" max="4" width="4.42578125" bestFit="1" customWidth="1"/>
    <col min="5" max="5" width="7.140625" bestFit="1" customWidth="1"/>
    <col min="6" max="6" width="11.28515625" bestFit="1" customWidth="1"/>
  </cols>
  <sheetData>
    <row r="3" spans="1:3" x14ac:dyDescent="0.25">
      <c r="A3" s="44" t="s">
        <v>84</v>
      </c>
      <c r="B3" s="44" t="s">
        <v>81</v>
      </c>
      <c r="C3" t="s">
        <v>167</v>
      </c>
    </row>
    <row r="4" spans="1:3" x14ac:dyDescent="0.25">
      <c r="A4" t="s">
        <v>97</v>
      </c>
      <c r="B4" t="s">
        <v>95</v>
      </c>
      <c r="C4">
        <v>289</v>
      </c>
    </row>
    <row r="5" spans="1:3" x14ac:dyDescent="0.25">
      <c r="B5" t="s">
        <v>90</v>
      </c>
      <c r="C5">
        <v>104</v>
      </c>
    </row>
    <row r="6" spans="1:3" x14ac:dyDescent="0.25">
      <c r="A6" t="s">
        <v>168</v>
      </c>
      <c r="C6">
        <v>393</v>
      </c>
    </row>
    <row r="7" spans="1:3" x14ac:dyDescent="0.25">
      <c r="A7" t="s">
        <v>101</v>
      </c>
      <c r="B7" t="s">
        <v>95</v>
      </c>
      <c r="C7">
        <v>44</v>
      </c>
    </row>
    <row r="8" spans="1:3" x14ac:dyDescent="0.25">
      <c r="B8" t="s">
        <v>90</v>
      </c>
      <c r="C8">
        <v>177</v>
      </c>
    </row>
    <row r="9" spans="1:3" x14ac:dyDescent="0.25">
      <c r="A9" t="s">
        <v>169</v>
      </c>
      <c r="C9">
        <v>221</v>
      </c>
    </row>
    <row r="10" spans="1:3" x14ac:dyDescent="0.25">
      <c r="A10" t="s">
        <v>112</v>
      </c>
      <c r="B10" t="s">
        <v>90</v>
      </c>
      <c r="C10">
        <v>132</v>
      </c>
    </row>
    <row r="11" spans="1:3" x14ac:dyDescent="0.25">
      <c r="A11" t="s">
        <v>170</v>
      </c>
      <c r="C11">
        <v>132</v>
      </c>
    </row>
    <row r="12" spans="1:3" x14ac:dyDescent="0.25">
      <c r="A12" t="s">
        <v>92</v>
      </c>
      <c r="B12" t="s">
        <v>90</v>
      </c>
      <c r="C12">
        <v>100</v>
      </c>
    </row>
    <row r="13" spans="1:3" x14ac:dyDescent="0.25">
      <c r="A13" t="s">
        <v>171</v>
      </c>
      <c r="C13">
        <v>100</v>
      </c>
    </row>
    <row r="14" spans="1:3" x14ac:dyDescent="0.25">
      <c r="A14" t="s">
        <v>166</v>
      </c>
      <c r="C14">
        <v>846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9C59F-EFD9-4E26-ABC1-B6505D270A86}">
  <dimension ref="A1"/>
  <sheetViews>
    <sheetView workbookViewId="0"/>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246B-D281-4A7D-B8FA-B33ABACDEDEB}">
  <dimension ref="A1:R16"/>
  <sheetViews>
    <sheetView zoomScale="123" workbookViewId="0">
      <selection activeCell="M24" sqref="M24"/>
    </sheetView>
  </sheetViews>
  <sheetFormatPr defaultRowHeight="15" x14ac:dyDescent="0.25"/>
  <sheetData>
    <row r="1" spans="1:18" x14ac:dyDescent="0.25">
      <c r="A1" s="12" t="s">
        <v>80</v>
      </c>
      <c r="B1" s="12" t="s">
        <v>81</v>
      </c>
      <c r="C1" s="12" t="s">
        <v>82</v>
      </c>
      <c r="D1" s="12" t="s">
        <v>83</v>
      </c>
      <c r="E1" s="12" t="s">
        <v>84</v>
      </c>
      <c r="F1" s="12" t="s">
        <v>85</v>
      </c>
      <c r="G1" s="12" t="s">
        <v>86</v>
      </c>
      <c r="H1" s="12" t="s">
        <v>87</v>
      </c>
    </row>
    <row r="2" spans="1:18" x14ac:dyDescent="0.25">
      <c r="A2" s="7" t="s">
        <v>89</v>
      </c>
      <c r="B2" s="7" t="s">
        <v>90</v>
      </c>
      <c r="C2" s="7">
        <v>17</v>
      </c>
      <c r="D2" s="7" t="s">
        <v>91</v>
      </c>
      <c r="E2" s="7" t="s">
        <v>92</v>
      </c>
      <c r="F2" s="7">
        <v>55</v>
      </c>
      <c r="G2" s="7">
        <v>99</v>
      </c>
      <c r="H2" s="7">
        <v>100</v>
      </c>
    </row>
    <row r="3" spans="1:18" x14ac:dyDescent="0.25">
      <c r="A3" s="7" t="s">
        <v>94</v>
      </c>
      <c r="B3" s="7" t="s">
        <v>95</v>
      </c>
      <c r="C3" s="7">
        <v>18</v>
      </c>
      <c r="D3" s="7" t="s">
        <v>96</v>
      </c>
      <c r="E3" s="7" t="s">
        <v>97</v>
      </c>
      <c r="F3" s="7">
        <v>22</v>
      </c>
      <c r="G3" s="7">
        <v>48</v>
      </c>
      <c r="H3" s="7">
        <v>72</v>
      </c>
    </row>
    <row r="4" spans="1:18" x14ac:dyDescent="0.25">
      <c r="A4" s="7" t="s">
        <v>99</v>
      </c>
      <c r="B4" s="7" t="s">
        <v>95</v>
      </c>
      <c r="C4" s="7">
        <v>17</v>
      </c>
      <c r="D4" s="7" t="s">
        <v>100</v>
      </c>
      <c r="E4" s="7" t="s">
        <v>101</v>
      </c>
      <c r="F4" s="7">
        <v>91</v>
      </c>
      <c r="G4" s="7">
        <v>68</v>
      </c>
      <c r="H4" s="7">
        <v>7</v>
      </c>
    </row>
    <row r="5" spans="1:18" x14ac:dyDescent="0.25">
      <c r="A5" s="7" t="s">
        <v>103</v>
      </c>
      <c r="B5" s="7" t="s">
        <v>90</v>
      </c>
      <c r="C5" s="7">
        <v>16</v>
      </c>
      <c r="D5" s="7" t="s">
        <v>104</v>
      </c>
      <c r="E5" s="7" t="s">
        <v>101</v>
      </c>
      <c r="F5" s="7">
        <v>45</v>
      </c>
      <c r="G5" s="7">
        <v>58</v>
      </c>
      <c r="H5" s="7">
        <v>79</v>
      </c>
      <c r="P5" s="16" t="s">
        <v>80</v>
      </c>
      <c r="Q5" t="s">
        <v>111</v>
      </c>
      <c r="R5">
        <f>MATCH(Q5,A2:A16,0)</f>
        <v>7</v>
      </c>
    </row>
    <row r="6" spans="1:18" x14ac:dyDescent="0.25">
      <c r="A6" s="7" t="s">
        <v>106</v>
      </c>
      <c r="B6" s="7" t="s">
        <v>90</v>
      </c>
      <c r="C6" s="7">
        <v>18</v>
      </c>
      <c r="D6" s="7" t="s">
        <v>107</v>
      </c>
      <c r="E6" s="7" t="s">
        <v>97</v>
      </c>
      <c r="F6" s="7">
        <v>93</v>
      </c>
      <c r="G6" s="7">
        <v>20</v>
      </c>
      <c r="H6" s="7">
        <v>55</v>
      </c>
      <c r="P6" s="16"/>
    </row>
    <row r="7" spans="1:18" x14ac:dyDescent="0.25">
      <c r="A7" s="7" t="s">
        <v>109</v>
      </c>
      <c r="B7" s="7" t="s">
        <v>95</v>
      </c>
      <c r="C7" s="7">
        <v>16</v>
      </c>
      <c r="D7" s="7" t="s">
        <v>91</v>
      </c>
      <c r="E7" s="7" t="s">
        <v>97</v>
      </c>
      <c r="F7" s="7">
        <v>96</v>
      </c>
      <c r="G7" s="7">
        <v>57</v>
      </c>
      <c r="H7" s="7">
        <v>65</v>
      </c>
      <c r="P7" s="16"/>
    </row>
    <row r="8" spans="1:18" x14ac:dyDescent="0.25">
      <c r="A8" s="7" t="s">
        <v>111</v>
      </c>
      <c r="B8" s="7" t="s">
        <v>90</v>
      </c>
      <c r="C8" s="7">
        <v>18</v>
      </c>
      <c r="D8" s="7" t="s">
        <v>100</v>
      </c>
      <c r="E8" s="7" t="s">
        <v>112</v>
      </c>
      <c r="F8" s="7">
        <v>42</v>
      </c>
      <c r="G8" s="7">
        <v>37</v>
      </c>
      <c r="H8" s="7">
        <v>4</v>
      </c>
    </row>
    <row r="9" spans="1:18" x14ac:dyDescent="0.25">
      <c r="A9" s="7" t="s">
        <v>11</v>
      </c>
      <c r="B9" s="7" t="s">
        <v>95</v>
      </c>
      <c r="C9" s="7">
        <v>17</v>
      </c>
      <c r="D9" s="7" t="s">
        <v>114</v>
      </c>
      <c r="E9" s="7" t="s">
        <v>97</v>
      </c>
      <c r="F9" s="7">
        <v>61</v>
      </c>
      <c r="G9" s="7">
        <v>91</v>
      </c>
      <c r="H9" s="7">
        <v>42</v>
      </c>
    </row>
    <row r="10" spans="1:18" x14ac:dyDescent="0.25">
      <c r="A10" s="7" t="s">
        <v>15</v>
      </c>
      <c r="B10" s="7" t="s">
        <v>90</v>
      </c>
      <c r="C10" s="7">
        <v>15</v>
      </c>
      <c r="D10" s="7" t="s">
        <v>91</v>
      </c>
      <c r="E10" s="7" t="s">
        <v>97</v>
      </c>
      <c r="F10" s="7">
        <v>19</v>
      </c>
      <c r="G10" s="7">
        <v>46</v>
      </c>
      <c r="H10" s="7">
        <v>49</v>
      </c>
    </row>
    <row r="11" spans="1:18" x14ac:dyDescent="0.25">
      <c r="A11" s="7" t="s">
        <v>117</v>
      </c>
      <c r="B11" s="7" t="s">
        <v>90</v>
      </c>
      <c r="C11" s="7">
        <v>16</v>
      </c>
      <c r="D11" s="7" t="s">
        <v>96</v>
      </c>
      <c r="E11" s="7" t="s">
        <v>112</v>
      </c>
      <c r="F11" s="7">
        <v>15</v>
      </c>
      <c r="G11" s="7">
        <v>73</v>
      </c>
      <c r="H11" s="7">
        <v>52</v>
      </c>
    </row>
    <row r="12" spans="1:18" x14ac:dyDescent="0.25">
      <c r="A12" s="7" t="s">
        <v>119</v>
      </c>
      <c r="B12" s="7" t="s">
        <v>90</v>
      </c>
      <c r="C12" s="7">
        <v>16</v>
      </c>
      <c r="D12" s="7" t="s">
        <v>114</v>
      </c>
      <c r="E12" s="7" t="s">
        <v>101</v>
      </c>
      <c r="F12" s="7">
        <v>84</v>
      </c>
      <c r="G12" s="7">
        <v>31</v>
      </c>
      <c r="H12" s="7">
        <v>98</v>
      </c>
    </row>
    <row r="13" spans="1:18" x14ac:dyDescent="0.25">
      <c r="A13" s="7" t="s">
        <v>13</v>
      </c>
      <c r="B13" s="7" t="s">
        <v>95</v>
      </c>
      <c r="C13" s="7">
        <v>18</v>
      </c>
      <c r="D13" s="7" t="s">
        <v>100</v>
      </c>
      <c r="E13" s="7" t="s">
        <v>97</v>
      </c>
      <c r="F13" s="7">
        <v>7</v>
      </c>
      <c r="G13" s="7">
        <v>60</v>
      </c>
      <c r="H13" s="7">
        <v>68</v>
      </c>
    </row>
    <row r="14" spans="1:18" x14ac:dyDescent="0.25">
      <c r="A14" s="7" t="s">
        <v>122</v>
      </c>
      <c r="B14" s="7" t="s">
        <v>95</v>
      </c>
      <c r="C14" s="7">
        <v>15</v>
      </c>
      <c r="D14" s="7" t="s">
        <v>104</v>
      </c>
      <c r="E14" s="7" t="s">
        <v>101</v>
      </c>
      <c r="F14" s="7">
        <v>50</v>
      </c>
      <c r="G14" s="7">
        <v>80</v>
      </c>
      <c r="H14" s="7">
        <v>37</v>
      </c>
    </row>
    <row r="15" spans="1:18" x14ac:dyDescent="0.25">
      <c r="A15" s="7" t="s">
        <v>124</v>
      </c>
      <c r="B15" s="7" t="s">
        <v>95</v>
      </c>
      <c r="C15" s="7">
        <v>16</v>
      </c>
      <c r="D15" s="7" t="s">
        <v>104</v>
      </c>
      <c r="E15" s="7" t="s">
        <v>97</v>
      </c>
      <c r="F15" s="7">
        <v>99</v>
      </c>
      <c r="G15" s="7">
        <v>52</v>
      </c>
      <c r="H15" s="7">
        <v>42</v>
      </c>
    </row>
    <row r="16" spans="1:18" x14ac:dyDescent="0.25">
      <c r="A16" s="7" t="s">
        <v>126</v>
      </c>
      <c r="B16" s="7" t="s">
        <v>90</v>
      </c>
      <c r="C16" s="7">
        <v>16</v>
      </c>
      <c r="D16" s="7" t="s">
        <v>91</v>
      </c>
      <c r="E16" s="7" t="s">
        <v>112</v>
      </c>
      <c r="F16" s="7">
        <v>11</v>
      </c>
      <c r="G16" s="7">
        <v>71</v>
      </c>
      <c r="H16" s="7">
        <v>76</v>
      </c>
    </row>
  </sheetData>
  <dataValidations count="1">
    <dataValidation type="list" allowBlank="1" showInputMessage="1" showErrorMessage="1" sqref="Q5" xr:uid="{EBB4F1B0-6F00-4FC0-BA17-4D1523385D66}">
      <formula1>$A$2:$A$16</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1D113-A165-4898-847A-71D3721BBE3A}">
  <dimension ref="B2:E2"/>
  <sheetViews>
    <sheetView workbookViewId="0">
      <selection activeCell="B3" sqref="B3"/>
    </sheetView>
  </sheetViews>
  <sheetFormatPr defaultRowHeight="15" x14ac:dyDescent="0.25"/>
  <sheetData>
    <row r="2" spans="2:5" x14ac:dyDescent="0.25">
      <c r="B2" t="s">
        <v>178</v>
      </c>
      <c r="C2" t="s">
        <v>179</v>
      </c>
      <c r="D2" t="s">
        <v>180</v>
      </c>
      <c r="E2" t="e">
        <f>C2*D2</f>
        <v>#VALUE!</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3454C-CF9B-47C8-91B7-E1F85DA9F65C}">
  <dimension ref="A1:C16"/>
  <sheetViews>
    <sheetView zoomScale="160" zoomScaleNormal="160" workbookViewId="0">
      <selection activeCell="F7" sqref="F7"/>
    </sheetView>
  </sheetViews>
  <sheetFormatPr defaultRowHeight="15" x14ac:dyDescent="0.25"/>
  <cols>
    <col min="2" max="2" width="9.42578125" bestFit="1" customWidth="1"/>
  </cols>
  <sheetData>
    <row r="1" spans="1:3" x14ac:dyDescent="0.25">
      <c r="A1" s="65" t="s">
        <v>80</v>
      </c>
      <c r="B1" s="65" t="s">
        <v>87</v>
      </c>
      <c r="C1" s="64" t="s">
        <v>363</v>
      </c>
    </row>
    <row r="2" spans="1:3" x14ac:dyDescent="0.25">
      <c r="A2" s="6" t="s">
        <v>89</v>
      </c>
      <c r="B2" s="6">
        <v>100</v>
      </c>
      <c r="C2" s="62">
        <f>RANK($B$2,B2:$B$16,1)</f>
        <v>15</v>
      </c>
    </row>
    <row r="3" spans="1:3" x14ac:dyDescent="0.25">
      <c r="A3" s="6" t="s">
        <v>119</v>
      </c>
      <c r="B3" s="6">
        <v>98</v>
      </c>
      <c r="C3" s="62">
        <f>RANK(B3,B3:$B$16,1)</f>
        <v>14</v>
      </c>
    </row>
    <row r="4" spans="1:3" x14ac:dyDescent="0.25">
      <c r="A4" s="6" t="s">
        <v>126</v>
      </c>
      <c r="B4" s="6">
        <v>76</v>
      </c>
      <c r="C4" s="62">
        <f>RANK(B4,B4:$B$16,1)</f>
        <v>12</v>
      </c>
    </row>
    <row r="5" spans="1:3" x14ac:dyDescent="0.25">
      <c r="A5" s="6" t="s">
        <v>103</v>
      </c>
      <c r="B5" s="6">
        <v>79</v>
      </c>
      <c r="C5" s="62">
        <f>RANK(B5,B5:$B$16,1)</f>
        <v>12</v>
      </c>
    </row>
    <row r="6" spans="1:3" x14ac:dyDescent="0.25">
      <c r="A6" s="6" t="s">
        <v>13</v>
      </c>
      <c r="B6" s="6">
        <v>68</v>
      </c>
      <c r="C6" s="62">
        <f>RANK(B6,B6:$B$16,1)</f>
        <v>10</v>
      </c>
    </row>
    <row r="7" spans="1:3" x14ac:dyDescent="0.25">
      <c r="A7" s="6" t="s">
        <v>124</v>
      </c>
      <c r="B7" s="6">
        <v>42</v>
      </c>
      <c r="C7" s="62">
        <f>RANK(B7,B7:$B$16,1)</f>
        <v>4</v>
      </c>
    </row>
    <row r="8" spans="1:3" x14ac:dyDescent="0.25">
      <c r="A8" s="6" t="s">
        <v>122</v>
      </c>
      <c r="B8" s="6">
        <v>37</v>
      </c>
      <c r="C8" s="62">
        <f>RANK(B8,B8:$B$16,1)</f>
        <v>3</v>
      </c>
    </row>
    <row r="9" spans="1:3" x14ac:dyDescent="0.25">
      <c r="A9" s="6" t="s">
        <v>94</v>
      </c>
      <c r="B9" s="6">
        <v>72</v>
      </c>
      <c r="C9" s="62">
        <f>RANK(B9,B9:$B$16,1)</f>
        <v>8</v>
      </c>
    </row>
    <row r="10" spans="1:3" x14ac:dyDescent="0.25">
      <c r="A10" s="6" t="s">
        <v>109</v>
      </c>
      <c r="B10" s="6">
        <v>65</v>
      </c>
      <c r="C10" s="62">
        <f>RANK(B10,B10:$B$16,1)</f>
        <v>7</v>
      </c>
    </row>
    <row r="11" spans="1:3" x14ac:dyDescent="0.25">
      <c r="A11" s="6" t="s">
        <v>117</v>
      </c>
      <c r="B11" s="6">
        <v>52</v>
      </c>
      <c r="C11" s="62">
        <f>RANK(B11,B11:$B$16,1)</f>
        <v>5</v>
      </c>
    </row>
    <row r="12" spans="1:3" x14ac:dyDescent="0.25">
      <c r="A12" s="6" t="s">
        <v>106</v>
      </c>
      <c r="B12" s="6">
        <v>55</v>
      </c>
      <c r="C12" s="62">
        <f>RANK(B12,B12:$B$16,1)</f>
        <v>5</v>
      </c>
    </row>
    <row r="13" spans="1:3" x14ac:dyDescent="0.25">
      <c r="A13" s="6" t="s">
        <v>15</v>
      </c>
      <c r="B13" s="6">
        <v>49</v>
      </c>
      <c r="C13" s="62">
        <f>RANK(B13,B13:$B$16,1)</f>
        <v>4</v>
      </c>
    </row>
    <row r="14" spans="1:3" x14ac:dyDescent="0.25">
      <c r="A14" s="6" t="s">
        <v>11</v>
      </c>
      <c r="B14" s="6">
        <v>42</v>
      </c>
      <c r="C14" s="62">
        <f>RANK(B14,B14:$B$16,1)</f>
        <v>3</v>
      </c>
    </row>
    <row r="15" spans="1:3" x14ac:dyDescent="0.25">
      <c r="A15" s="6" t="s">
        <v>111</v>
      </c>
      <c r="B15" s="6">
        <v>4</v>
      </c>
      <c r="C15" s="62">
        <f>RANK(B15,B15:$B$16,1)</f>
        <v>1</v>
      </c>
    </row>
    <row r="16" spans="1:3" x14ac:dyDescent="0.25">
      <c r="A16" s="6" t="s">
        <v>99</v>
      </c>
      <c r="B16" s="6">
        <v>7</v>
      </c>
      <c r="C16" s="62">
        <f>RANK(B16,B16:$B$16,1)</f>
        <v>1</v>
      </c>
    </row>
  </sheetData>
  <sortState xmlns:xlrd2="http://schemas.microsoft.com/office/spreadsheetml/2017/richdata2" ref="A2:C16">
    <sortCondition ref="C2:C16"/>
  </sortState>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C7F2-002D-4893-82F9-7251D554BEF3}">
  <dimension ref="B2:H6"/>
  <sheetViews>
    <sheetView topLeftCell="B1" zoomScale="170" zoomScaleNormal="170" workbookViewId="0">
      <selection activeCell="F11" sqref="F11"/>
    </sheetView>
  </sheetViews>
  <sheetFormatPr defaultRowHeight="15" x14ac:dyDescent="0.25"/>
  <cols>
    <col min="2" max="3" width="11" bestFit="1" customWidth="1"/>
    <col min="4" max="5" width="10.42578125" customWidth="1"/>
    <col min="6" max="6" width="13.140625" bestFit="1" customWidth="1"/>
    <col min="8" max="8" width="10.42578125" bestFit="1" customWidth="1"/>
  </cols>
  <sheetData>
    <row r="2" spans="2:8" x14ac:dyDescent="0.25">
      <c r="B2" t="s">
        <v>201</v>
      </c>
      <c r="C2" t="s">
        <v>202</v>
      </c>
      <c r="D2" t="s">
        <v>182</v>
      </c>
      <c r="E2" t="s">
        <v>183</v>
      </c>
      <c r="F2" t="s">
        <v>181</v>
      </c>
      <c r="H2" t="s">
        <v>203</v>
      </c>
    </row>
    <row r="3" spans="2:8" x14ac:dyDescent="0.25">
      <c r="B3" s="46">
        <v>45653</v>
      </c>
      <c r="C3" s="46">
        <v>45658</v>
      </c>
      <c r="D3">
        <f>DAY(B3)</f>
        <v>27</v>
      </c>
      <c r="E3">
        <f>_xlfn.DAYS(C3,B3)</f>
        <v>5</v>
      </c>
      <c r="F3">
        <f>NETWORKDAYS(B3,C3)</f>
        <v>4</v>
      </c>
      <c r="H3" s="46">
        <v>45654</v>
      </c>
    </row>
    <row r="4" spans="2:8" x14ac:dyDescent="0.25">
      <c r="D4">
        <f>DAY(B3)</f>
        <v>27</v>
      </c>
      <c r="E4">
        <f>_xlfn.DAYS(C3,B3)</f>
        <v>5</v>
      </c>
      <c r="F4">
        <f>NETWORKDAYS(B3,C3)</f>
        <v>4</v>
      </c>
    </row>
    <row r="5" spans="2:8" x14ac:dyDescent="0.25">
      <c r="F5">
        <f>NETWORKDAYS(B3,C3,H3)</f>
        <v>4</v>
      </c>
    </row>
    <row r="6" spans="2:8" x14ac:dyDescent="0.25">
      <c r="F6">
        <f>NETWORKDAYS(B3,C3)</f>
        <v>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DFBF0-0171-4EA2-AA90-2F1B789CAC76}">
  <dimension ref="A1:O19"/>
  <sheetViews>
    <sheetView tabSelected="1" zoomScale="150" zoomScaleNormal="150" workbookViewId="0">
      <selection activeCell="M5" sqref="M5"/>
    </sheetView>
  </sheetViews>
  <sheetFormatPr defaultRowHeight="15" x14ac:dyDescent="0.25"/>
  <cols>
    <col min="1" max="1" width="7.5703125" bestFit="1" customWidth="1"/>
    <col min="2" max="2" width="7.7109375" bestFit="1" customWidth="1"/>
    <col min="3" max="3" width="4.42578125" bestFit="1" customWidth="1"/>
    <col min="4" max="4" width="5.42578125" bestFit="1" customWidth="1"/>
    <col min="5" max="5" width="7" bestFit="1" customWidth="1"/>
    <col min="6" max="7" width="10.42578125" bestFit="1" customWidth="1"/>
    <col min="12" max="12" width="6.28515625" bestFit="1" customWidth="1"/>
    <col min="13" max="13" width="7.28515625" bestFit="1" customWidth="1"/>
    <col min="14" max="14" width="11.140625" bestFit="1" customWidth="1"/>
    <col min="15" max="15" width="3" bestFit="1" customWidth="1"/>
  </cols>
  <sheetData>
    <row r="1" spans="1:15" x14ac:dyDescent="0.25">
      <c r="A1" s="12" t="s">
        <v>80</v>
      </c>
      <c r="B1" s="12" t="s">
        <v>81</v>
      </c>
      <c r="C1" s="12" t="s">
        <v>82</v>
      </c>
      <c r="D1" s="12" t="s">
        <v>83</v>
      </c>
      <c r="E1" s="12" t="s">
        <v>84</v>
      </c>
      <c r="F1" s="12" t="s">
        <v>85</v>
      </c>
      <c r="G1" s="12" t="s">
        <v>86</v>
      </c>
    </row>
    <row r="2" spans="1:15" x14ac:dyDescent="0.25">
      <c r="A2" s="7" t="s">
        <v>89</v>
      </c>
      <c r="B2" s="7" t="s">
        <v>90</v>
      </c>
      <c r="C2" s="7">
        <v>17</v>
      </c>
      <c r="D2" s="7" t="s">
        <v>91</v>
      </c>
      <c r="E2" s="7" t="s">
        <v>92</v>
      </c>
      <c r="F2" s="7">
        <v>55</v>
      </c>
      <c r="G2" s="7">
        <v>99</v>
      </c>
    </row>
    <row r="3" spans="1:15" x14ac:dyDescent="0.25">
      <c r="A3" s="7" t="s">
        <v>94</v>
      </c>
      <c r="B3" s="7" t="s">
        <v>95</v>
      </c>
      <c r="C3" s="7">
        <v>18</v>
      </c>
      <c r="D3" s="7" t="s">
        <v>96</v>
      </c>
      <c r="E3" s="7"/>
      <c r="F3" s="7">
        <v>22</v>
      </c>
      <c r="G3" s="7">
        <v>48</v>
      </c>
    </row>
    <row r="4" spans="1:15" x14ac:dyDescent="0.25">
      <c r="A4" s="7" t="s">
        <v>99</v>
      </c>
      <c r="B4" s="7" t="s">
        <v>95</v>
      </c>
      <c r="C4" s="7">
        <v>17</v>
      </c>
      <c r="D4" s="7" t="s">
        <v>100</v>
      </c>
      <c r="E4" s="7" t="s">
        <v>101</v>
      </c>
      <c r="F4" s="7">
        <v>91</v>
      </c>
      <c r="G4" s="7">
        <v>68</v>
      </c>
      <c r="M4">
        <f>(11 * 7)-9</f>
        <v>68</v>
      </c>
      <c r="O4">
        <f>11*2</f>
        <v>22</v>
      </c>
    </row>
    <row r="5" spans="1:15" x14ac:dyDescent="0.25">
      <c r="A5" s="7" t="s">
        <v>103</v>
      </c>
      <c r="B5" s="7"/>
      <c r="C5" s="7">
        <v>16</v>
      </c>
      <c r="D5" s="7" t="s">
        <v>104</v>
      </c>
      <c r="E5" s="7" t="s">
        <v>101</v>
      </c>
      <c r="F5" s="7">
        <v>45</v>
      </c>
      <c r="G5" s="7">
        <v>58</v>
      </c>
    </row>
    <row r="6" spans="1:15" x14ac:dyDescent="0.25">
      <c r="A6" s="7" t="s">
        <v>106</v>
      </c>
      <c r="B6" s="7" t="s">
        <v>90</v>
      </c>
      <c r="C6" s="7">
        <v>18</v>
      </c>
      <c r="D6" s="7" t="s">
        <v>107</v>
      </c>
      <c r="E6" s="7" t="s">
        <v>97</v>
      </c>
      <c r="F6" s="7"/>
      <c r="G6" s="7">
        <v>20</v>
      </c>
    </row>
    <row r="7" spans="1:15" x14ac:dyDescent="0.25">
      <c r="A7" s="7" t="s">
        <v>109</v>
      </c>
      <c r="B7" s="7" t="s">
        <v>95</v>
      </c>
      <c r="C7" s="7">
        <v>16</v>
      </c>
      <c r="D7" s="7" t="s">
        <v>91</v>
      </c>
      <c r="E7" s="7" t="s">
        <v>97</v>
      </c>
      <c r="F7" s="7">
        <v>96</v>
      </c>
      <c r="G7" s="7"/>
    </row>
    <row r="8" spans="1:15" x14ac:dyDescent="0.25">
      <c r="A8" s="7" t="s">
        <v>111</v>
      </c>
      <c r="B8" s="7" t="s">
        <v>90</v>
      </c>
      <c r="C8" s="7">
        <v>18</v>
      </c>
      <c r="D8" s="7"/>
      <c r="E8" s="7" t="s">
        <v>112</v>
      </c>
      <c r="F8" s="7">
        <v>42</v>
      </c>
      <c r="G8" s="7"/>
      <c r="L8" t="s">
        <v>184</v>
      </c>
    </row>
    <row r="9" spans="1:15" x14ac:dyDescent="0.25">
      <c r="A9" s="7" t="s">
        <v>11</v>
      </c>
      <c r="B9" s="7" t="s">
        <v>95</v>
      </c>
      <c r="C9" s="7">
        <v>17</v>
      </c>
      <c r="D9" s="7" t="s">
        <v>114</v>
      </c>
      <c r="E9" s="7" t="s">
        <v>97</v>
      </c>
      <c r="F9" s="7">
        <v>61</v>
      </c>
      <c r="G9" s="7"/>
      <c r="L9">
        <f>COUNT($D$2:$G$12)</f>
        <v>18</v>
      </c>
      <c r="M9">
        <f>COUNTA($A$2:$G$12)</f>
        <v>68</v>
      </c>
      <c r="N9">
        <f>COUNTBLANK($A$2:$G$12)</f>
        <v>9</v>
      </c>
    </row>
    <row r="10" spans="1:15" x14ac:dyDescent="0.25">
      <c r="A10" s="7" t="s">
        <v>15</v>
      </c>
      <c r="B10" s="7" t="s">
        <v>90</v>
      </c>
      <c r="C10" s="7">
        <v>15</v>
      </c>
      <c r="D10" s="7" t="s">
        <v>91</v>
      </c>
      <c r="E10" s="7" t="s">
        <v>97</v>
      </c>
      <c r="F10" s="7">
        <v>19</v>
      </c>
      <c r="G10" s="7">
        <v>46</v>
      </c>
    </row>
    <row r="11" spans="1:15" x14ac:dyDescent="0.25">
      <c r="A11" s="7" t="s">
        <v>117</v>
      </c>
      <c r="B11" s="7"/>
      <c r="C11" s="7">
        <v>16</v>
      </c>
      <c r="D11" s="7" t="s">
        <v>96</v>
      </c>
      <c r="E11" s="7"/>
      <c r="F11" s="7">
        <v>15</v>
      </c>
      <c r="G11" s="7">
        <v>73</v>
      </c>
    </row>
    <row r="12" spans="1:15" x14ac:dyDescent="0.25">
      <c r="A12" s="7" t="s">
        <v>119</v>
      </c>
      <c r="B12" s="7" t="s">
        <v>90</v>
      </c>
      <c r="C12" s="7">
        <v>16</v>
      </c>
      <c r="D12" s="7" t="s">
        <v>114</v>
      </c>
      <c r="E12" s="7" t="s">
        <v>101</v>
      </c>
      <c r="F12" s="7">
        <v>84</v>
      </c>
      <c r="G12" s="7">
        <v>31</v>
      </c>
    </row>
    <row r="16" spans="1:15" x14ac:dyDescent="0.25">
      <c r="L16" t="s">
        <v>184</v>
      </c>
      <c r="M16" t="s">
        <v>185</v>
      </c>
      <c r="N16" t="s">
        <v>186</v>
      </c>
    </row>
    <row r="17" spans="12:14" x14ac:dyDescent="0.25">
      <c r="L17">
        <f>COUNT($A$2:$G$12)</f>
        <v>29</v>
      </c>
      <c r="M17">
        <f>COUNTA($A$2:$G$12)</f>
        <v>68</v>
      </c>
      <c r="N17">
        <f>COUNTBLANK(A2:G12)</f>
        <v>9</v>
      </c>
    </row>
    <row r="19" spans="12:14" x14ac:dyDescent="0.25">
      <c r="L19">
        <f>COUNT(C2:G12)</f>
        <v>29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AC9B-F0F2-403C-B139-A12C669024ED}">
  <dimension ref="A1:I11"/>
  <sheetViews>
    <sheetView workbookViewId="0">
      <selection activeCell="J23" sqref="J23"/>
    </sheetView>
  </sheetViews>
  <sheetFormatPr defaultRowHeight="15" x14ac:dyDescent="0.25"/>
  <cols>
    <col min="1" max="1" width="8.42578125" bestFit="1" customWidth="1"/>
    <col min="2" max="2" width="12.140625" bestFit="1" customWidth="1"/>
    <col min="3" max="3" width="9.5703125" bestFit="1" customWidth="1"/>
    <col min="4" max="4" width="8.7109375" bestFit="1" customWidth="1"/>
  </cols>
  <sheetData>
    <row r="1" spans="1:9" x14ac:dyDescent="0.25">
      <c r="A1" s="47" t="s">
        <v>187</v>
      </c>
      <c r="B1" s="47" t="s">
        <v>188</v>
      </c>
      <c r="C1" s="47" t="s">
        <v>189</v>
      </c>
      <c r="D1" s="47" t="s">
        <v>190</v>
      </c>
    </row>
    <row r="2" spans="1:9" x14ac:dyDescent="0.25">
      <c r="A2" s="7">
        <v>1001</v>
      </c>
      <c r="B2" s="7" t="s">
        <v>191</v>
      </c>
      <c r="C2" s="7">
        <v>800</v>
      </c>
      <c r="D2" s="7">
        <v>2</v>
      </c>
    </row>
    <row r="3" spans="1:9" x14ac:dyDescent="0.25">
      <c r="A3" s="7">
        <v>1002</v>
      </c>
      <c r="B3" s="7" t="s">
        <v>192</v>
      </c>
      <c r="C3" s="7">
        <v>500</v>
      </c>
      <c r="D3" s="7">
        <v>3</v>
      </c>
    </row>
    <row r="4" spans="1:9" x14ac:dyDescent="0.25">
      <c r="A4" s="7">
        <v>1003</v>
      </c>
      <c r="B4" s="7" t="s">
        <v>193</v>
      </c>
      <c r="C4" s="7">
        <v>50</v>
      </c>
      <c r="D4" s="7">
        <v>5</v>
      </c>
    </row>
    <row r="5" spans="1:9" x14ac:dyDescent="0.25">
      <c r="A5" s="7">
        <v>1004</v>
      </c>
      <c r="B5" s="7" t="s">
        <v>194</v>
      </c>
      <c r="C5" s="7">
        <v>30</v>
      </c>
      <c r="D5" s="7">
        <v>10</v>
      </c>
      <c r="I5" t="e" cm="1">
        <f t="array" ref="I5">_xlfn.XLOOKUP("Laptop",B12:B12,A12:A12)</f>
        <v>#N/A</v>
      </c>
    </row>
    <row r="6" spans="1:9" x14ac:dyDescent="0.25">
      <c r="A6" s="7">
        <v>1005</v>
      </c>
      <c r="B6" s="7" t="s">
        <v>195</v>
      </c>
      <c r="C6" s="7">
        <v>150</v>
      </c>
      <c r="D6" s="7">
        <v>1</v>
      </c>
    </row>
    <row r="7" spans="1:9" x14ac:dyDescent="0.25">
      <c r="A7" s="7">
        <v>1006</v>
      </c>
      <c r="B7" s="7" t="s">
        <v>196</v>
      </c>
      <c r="C7" s="7">
        <v>25</v>
      </c>
      <c r="D7" s="7">
        <v>8</v>
      </c>
    </row>
    <row r="8" spans="1:9" x14ac:dyDescent="0.25">
      <c r="A8" s="7">
        <v>1007</v>
      </c>
      <c r="B8" s="7" t="s">
        <v>197</v>
      </c>
      <c r="C8" s="7">
        <v>300</v>
      </c>
      <c r="D8" s="7">
        <v>4</v>
      </c>
    </row>
    <row r="9" spans="1:9" x14ac:dyDescent="0.25">
      <c r="A9" s="7">
        <v>1008</v>
      </c>
      <c r="B9" s="7" t="s">
        <v>198</v>
      </c>
      <c r="C9" s="7">
        <v>20</v>
      </c>
      <c r="D9" s="7">
        <v>6</v>
      </c>
      <c r="I9">
        <f>_xlfn.XLOOKUP("Tablet",B2:B11,A2:A11)</f>
        <v>1007</v>
      </c>
    </row>
    <row r="10" spans="1:9" x14ac:dyDescent="0.25">
      <c r="A10" s="7">
        <v>1009</v>
      </c>
      <c r="B10" s="7" t="s">
        <v>199</v>
      </c>
      <c r="C10" s="7">
        <v>200</v>
      </c>
      <c r="D10" s="7">
        <v>2</v>
      </c>
    </row>
    <row r="11" spans="1:9" x14ac:dyDescent="0.25">
      <c r="A11" s="7">
        <v>1010</v>
      </c>
      <c r="B11" s="7" t="s">
        <v>200</v>
      </c>
      <c r="C11" s="7">
        <v>10</v>
      </c>
      <c r="D11" s="7">
        <v>15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7E728-CBA8-4B8E-8A85-C4EEBFCBD70D}">
  <dimension ref="A1:K12"/>
  <sheetViews>
    <sheetView workbookViewId="0">
      <selection activeCell="I12" sqref="I12"/>
    </sheetView>
  </sheetViews>
  <sheetFormatPr defaultRowHeight="15" x14ac:dyDescent="0.25"/>
  <sheetData>
    <row r="1" spans="1:11" x14ac:dyDescent="0.25">
      <c r="A1" s="47" t="s">
        <v>187</v>
      </c>
      <c r="B1" s="7">
        <v>1001</v>
      </c>
      <c r="C1" s="7">
        <v>1002</v>
      </c>
      <c r="D1" s="7">
        <v>1003</v>
      </c>
      <c r="E1" s="7">
        <v>1004</v>
      </c>
      <c r="F1" s="7">
        <v>1005</v>
      </c>
      <c r="G1" s="7">
        <v>1006</v>
      </c>
      <c r="H1" s="7">
        <v>1007</v>
      </c>
      <c r="I1" s="7">
        <v>1008</v>
      </c>
      <c r="J1" s="7">
        <v>1009</v>
      </c>
      <c r="K1" s="7">
        <v>1010</v>
      </c>
    </row>
    <row r="2" spans="1:11" x14ac:dyDescent="0.25">
      <c r="A2" s="47" t="s">
        <v>188</v>
      </c>
      <c r="B2" s="7" t="s">
        <v>191</v>
      </c>
      <c r="C2" s="7" t="s">
        <v>192</v>
      </c>
      <c r="D2" s="7" t="s">
        <v>193</v>
      </c>
      <c r="E2" s="7" t="s">
        <v>194</v>
      </c>
      <c r="F2" s="7" t="s">
        <v>195</v>
      </c>
      <c r="G2" s="7" t="s">
        <v>196</v>
      </c>
      <c r="H2" s="7" t="s">
        <v>197</v>
      </c>
      <c r="I2" s="7" t="s">
        <v>198</v>
      </c>
      <c r="J2" s="7" t="s">
        <v>199</v>
      </c>
      <c r="K2" s="7" t="s">
        <v>200</v>
      </c>
    </row>
    <row r="3" spans="1:11" x14ac:dyDescent="0.25">
      <c r="A3" s="47" t="s">
        <v>189</v>
      </c>
      <c r="B3" s="7">
        <v>800</v>
      </c>
      <c r="C3" s="7">
        <v>500</v>
      </c>
      <c r="D3" s="7">
        <v>50</v>
      </c>
      <c r="E3" s="7">
        <v>30</v>
      </c>
      <c r="F3" s="7">
        <v>150</v>
      </c>
      <c r="G3" s="7">
        <v>25</v>
      </c>
      <c r="H3" s="7">
        <v>300</v>
      </c>
      <c r="I3" s="7">
        <v>20</v>
      </c>
      <c r="J3" s="7">
        <v>200</v>
      </c>
      <c r="K3" s="7">
        <v>10</v>
      </c>
    </row>
    <row r="4" spans="1:11" x14ac:dyDescent="0.25">
      <c r="A4" s="47" t="s">
        <v>190</v>
      </c>
      <c r="B4" s="7">
        <v>2</v>
      </c>
      <c r="C4" s="7">
        <v>3</v>
      </c>
      <c r="D4" s="7">
        <v>5</v>
      </c>
      <c r="E4" s="7">
        <v>10</v>
      </c>
      <c r="F4" s="7">
        <v>1</v>
      </c>
      <c r="G4" s="7">
        <v>8</v>
      </c>
      <c r="H4" s="7">
        <v>4</v>
      </c>
      <c r="I4" s="7">
        <v>6</v>
      </c>
      <c r="J4" s="7">
        <v>2</v>
      </c>
      <c r="K4" s="7">
        <v>15</v>
      </c>
    </row>
    <row r="11" spans="1:11" x14ac:dyDescent="0.25">
      <c r="G11">
        <f>HLOOKUP(1002, A1:D3, 3, FALSE)</f>
        <v>500</v>
      </c>
    </row>
    <row r="12" spans="1:11" x14ac:dyDescent="0.25">
      <c r="G12" t="str">
        <f>_xlfn.XLOOKUP("Keyboar",B2:K2,B1:K1,"Not Found")</f>
        <v>Not Found</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A1672-8AA0-4744-BB78-39244787E12E}">
  <dimension ref="A1:I64"/>
  <sheetViews>
    <sheetView workbookViewId="0">
      <selection activeCell="J13" sqref="J13"/>
    </sheetView>
  </sheetViews>
  <sheetFormatPr defaultRowHeight="15" x14ac:dyDescent="0.25"/>
  <cols>
    <col min="2" max="2" width="10.42578125" bestFit="1" customWidth="1"/>
  </cols>
  <sheetData>
    <row r="1" spans="1:9" ht="15.75" x14ac:dyDescent="0.25">
      <c r="A1" s="60" t="s">
        <v>187</v>
      </c>
      <c r="B1" s="61" t="s">
        <v>287</v>
      </c>
      <c r="C1" s="60" t="s">
        <v>288</v>
      </c>
      <c r="D1" s="60" t="s">
        <v>289</v>
      </c>
      <c r="E1" s="60" t="s">
        <v>290</v>
      </c>
      <c r="F1" s="60" t="s">
        <v>291</v>
      </c>
      <c r="G1" s="60" t="s">
        <v>205</v>
      </c>
      <c r="H1" s="60" t="s">
        <v>222</v>
      </c>
      <c r="I1" s="60" t="s">
        <v>292</v>
      </c>
    </row>
    <row r="2" spans="1:9" x14ac:dyDescent="0.25">
      <c r="A2" s="62" t="s">
        <v>293</v>
      </c>
      <c r="B2" s="63">
        <v>43101</v>
      </c>
      <c r="C2" s="62" t="s">
        <v>294</v>
      </c>
      <c r="D2" s="62" t="s">
        <v>295</v>
      </c>
      <c r="E2" s="62" t="s">
        <v>296</v>
      </c>
      <c r="F2" s="62" t="s">
        <v>296</v>
      </c>
      <c r="G2" s="62" t="s">
        <v>297</v>
      </c>
      <c r="H2" s="62">
        <v>2934</v>
      </c>
      <c r="I2" s="62">
        <v>1819</v>
      </c>
    </row>
    <row r="3" spans="1:9" x14ac:dyDescent="0.25">
      <c r="A3" s="62" t="s">
        <v>298</v>
      </c>
      <c r="B3" s="63">
        <v>43101</v>
      </c>
      <c r="C3" s="62" t="s">
        <v>299</v>
      </c>
      <c r="D3" s="62" t="s">
        <v>295</v>
      </c>
      <c r="E3" s="62" t="s">
        <v>296</v>
      </c>
      <c r="F3" s="62" t="s">
        <v>296</v>
      </c>
      <c r="G3" s="62" t="s">
        <v>297</v>
      </c>
      <c r="H3" s="62">
        <v>4354</v>
      </c>
      <c r="I3" s="62">
        <v>2787</v>
      </c>
    </row>
    <row r="4" spans="1:9" x14ac:dyDescent="0.25">
      <c r="A4" s="62" t="s">
        <v>300</v>
      </c>
      <c r="B4" s="63">
        <v>43101</v>
      </c>
      <c r="C4" s="62" t="s">
        <v>301</v>
      </c>
      <c r="D4" s="62" t="s">
        <v>295</v>
      </c>
      <c r="E4" s="62" t="s">
        <v>296</v>
      </c>
      <c r="F4" s="62" t="s">
        <v>296</v>
      </c>
      <c r="G4" s="62" t="s">
        <v>297</v>
      </c>
      <c r="H4" s="62">
        <v>2102</v>
      </c>
      <c r="I4" s="62">
        <v>1534</v>
      </c>
    </row>
    <row r="5" spans="1:9" x14ac:dyDescent="0.25">
      <c r="A5" s="62" t="s">
        <v>302</v>
      </c>
      <c r="B5" s="63">
        <v>43102</v>
      </c>
      <c r="C5" s="62" t="s">
        <v>303</v>
      </c>
      <c r="D5" s="62" t="s">
        <v>304</v>
      </c>
      <c r="E5" s="62" t="s">
        <v>305</v>
      </c>
      <c r="F5" s="62" t="s">
        <v>306</v>
      </c>
      <c r="G5" s="62" t="s">
        <v>297</v>
      </c>
      <c r="H5" s="62">
        <v>3261</v>
      </c>
      <c r="I5" s="62">
        <v>2446</v>
      </c>
    </row>
    <row r="6" spans="1:9" x14ac:dyDescent="0.25">
      <c r="A6" s="62" t="s">
        <v>307</v>
      </c>
      <c r="B6" s="63">
        <v>43102</v>
      </c>
      <c r="C6" s="62" t="s">
        <v>308</v>
      </c>
      <c r="D6" s="62" t="s">
        <v>304</v>
      </c>
      <c r="E6" s="62" t="s">
        <v>305</v>
      </c>
      <c r="F6" s="62" t="s">
        <v>306</v>
      </c>
      <c r="G6" s="62" t="s">
        <v>297</v>
      </c>
      <c r="H6" s="62">
        <v>2577</v>
      </c>
      <c r="I6" s="62">
        <v>1907</v>
      </c>
    </row>
    <row r="7" spans="1:9" x14ac:dyDescent="0.25">
      <c r="A7" s="62" t="s">
        <v>309</v>
      </c>
      <c r="B7" s="63">
        <v>43102</v>
      </c>
      <c r="C7" s="62" t="s">
        <v>310</v>
      </c>
      <c r="D7" s="62" t="s">
        <v>304</v>
      </c>
      <c r="E7" s="62" t="s">
        <v>305</v>
      </c>
      <c r="F7" s="62" t="s">
        <v>306</v>
      </c>
      <c r="G7" s="62" t="s">
        <v>297</v>
      </c>
      <c r="H7" s="62">
        <v>3131</v>
      </c>
      <c r="I7" s="62">
        <v>1973</v>
      </c>
    </row>
    <row r="8" spans="1:9" x14ac:dyDescent="0.25">
      <c r="A8" s="62" t="s">
        <v>311</v>
      </c>
      <c r="B8" s="63">
        <v>43102</v>
      </c>
      <c r="C8" s="62" t="s">
        <v>312</v>
      </c>
      <c r="D8" s="62" t="s">
        <v>304</v>
      </c>
      <c r="E8" s="62" t="s">
        <v>305</v>
      </c>
      <c r="F8" s="62" t="s">
        <v>306</v>
      </c>
      <c r="G8" s="62" t="s">
        <v>297</v>
      </c>
      <c r="H8" s="62">
        <v>2683</v>
      </c>
      <c r="I8" s="62">
        <v>1798</v>
      </c>
    </row>
    <row r="9" spans="1:9" x14ac:dyDescent="0.25">
      <c r="A9" s="62" t="s">
        <v>313</v>
      </c>
      <c r="B9" s="63">
        <v>43102</v>
      </c>
      <c r="C9" s="62" t="s">
        <v>314</v>
      </c>
      <c r="D9" s="62" t="s">
        <v>304</v>
      </c>
      <c r="E9" s="62" t="s">
        <v>305</v>
      </c>
      <c r="F9" s="62" t="s">
        <v>306</v>
      </c>
      <c r="G9" s="62" t="s">
        <v>297</v>
      </c>
      <c r="H9" s="62">
        <v>2613</v>
      </c>
      <c r="I9" s="62">
        <v>1751</v>
      </c>
    </row>
    <row r="10" spans="1:9" x14ac:dyDescent="0.25">
      <c r="A10" s="62" t="s">
        <v>315</v>
      </c>
      <c r="B10" s="63">
        <v>43103</v>
      </c>
      <c r="C10" s="62" t="s">
        <v>316</v>
      </c>
      <c r="D10" s="62" t="s">
        <v>317</v>
      </c>
      <c r="E10" s="62" t="s">
        <v>318</v>
      </c>
      <c r="F10" s="62" t="s">
        <v>319</v>
      </c>
      <c r="G10" s="62" t="s">
        <v>210</v>
      </c>
      <c r="H10" s="62">
        <v>4076</v>
      </c>
      <c r="I10" s="62">
        <v>2609</v>
      </c>
    </row>
    <row r="11" spans="1:9" x14ac:dyDescent="0.25">
      <c r="A11" s="62" t="s">
        <v>320</v>
      </c>
      <c r="B11" s="63">
        <v>43103</v>
      </c>
      <c r="C11" s="62" t="s">
        <v>321</v>
      </c>
      <c r="D11" s="62" t="s">
        <v>322</v>
      </c>
      <c r="E11" s="62" t="s">
        <v>323</v>
      </c>
      <c r="F11" s="62" t="s">
        <v>324</v>
      </c>
      <c r="G11" s="62" t="s">
        <v>213</v>
      </c>
      <c r="H11" s="62">
        <v>4400</v>
      </c>
      <c r="I11" s="62">
        <v>3432</v>
      </c>
    </row>
    <row r="12" spans="1:9" x14ac:dyDescent="0.25">
      <c r="A12" s="62" t="s">
        <v>325</v>
      </c>
      <c r="B12" s="63">
        <v>43103</v>
      </c>
      <c r="C12" s="62" t="s">
        <v>326</v>
      </c>
      <c r="D12" s="62" t="s">
        <v>317</v>
      </c>
      <c r="E12" s="62" t="s">
        <v>327</v>
      </c>
      <c r="F12" s="62" t="s">
        <v>328</v>
      </c>
      <c r="G12" s="62" t="s">
        <v>210</v>
      </c>
      <c r="H12" s="62">
        <v>2466</v>
      </c>
      <c r="I12" s="62">
        <v>1603</v>
      </c>
    </row>
    <row r="13" spans="1:9" x14ac:dyDescent="0.25">
      <c r="A13" s="62" t="s">
        <v>329</v>
      </c>
      <c r="B13" s="63">
        <v>43104</v>
      </c>
      <c r="C13" s="62" t="s">
        <v>330</v>
      </c>
      <c r="D13" s="62" t="s">
        <v>331</v>
      </c>
      <c r="E13" s="62" t="s">
        <v>332</v>
      </c>
      <c r="F13" s="62" t="s">
        <v>333</v>
      </c>
      <c r="G13" s="62" t="s">
        <v>213</v>
      </c>
      <c r="H13" s="62">
        <v>2137</v>
      </c>
      <c r="I13" s="62">
        <v>1325</v>
      </c>
    </row>
    <row r="14" spans="1:9" x14ac:dyDescent="0.25">
      <c r="A14" s="62" t="s">
        <v>334</v>
      </c>
      <c r="B14" s="63">
        <v>43104</v>
      </c>
      <c r="C14" s="62" t="s">
        <v>335</v>
      </c>
      <c r="D14" s="62" t="s">
        <v>331</v>
      </c>
      <c r="E14" s="62" t="s">
        <v>336</v>
      </c>
      <c r="F14" s="62" t="s">
        <v>337</v>
      </c>
      <c r="G14" s="62" t="s">
        <v>213</v>
      </c>
      <c r="H14" s="62">
        <v>4216</v>
      </c>
      <c r="I14" s="62">
        <v>3162</v>
      </c>
    </row>
    <row r="15" spans="1:9" x14ac:dyDescent="0.25">
      <c r="A15" s="62" t="s">
        <v>338</v>
      </c>
      <c r="B15" s="63">
        <v>43104</v>
      </c>
      <c r="C15" s="62" t="s">
        <v>339</v>
      </c>
      <c r="D15" s="62" t="s">
        <v>331</v>
      </c>
      <c r="E15" s="62" t="s">
        <v>336</v>
      </c>
      <c r="F15" s="62" t="s">
        <v>337</v>
      </c>
      <c r="G15" s="62" t="s">
        <v>213</v>
      </c>
      <c r="H15" s="62">
        <v>3165</v>
      </c>
      <c r="I15" s="62">
        <v>2310</v>
      </c>
    </row>
    <row r="16" spans="1:9" x14ac:dyDescent="0.25">
      <c r="A16" s="62" t="s">
        <v>340</v>
      </c>
      <c r="B16" s="63">
        <v>43104</v>
      </c>
      <c r="C16" s="62" t="s">
        <v>341</v>
      </c>
      <c r="D16" s="62" t="s">
        <v>342</v>
      </c>
      <c r="E16" s="62" t="s">
        <v>343</v>
      </c>
      <c r="F16" s="62" t="s">
        <v>344</v>
      </c>
      <c r="G16" s="62" t="s">
        <v>297</v>
      </c>
      <c r="H16" s="62">
        <v>3263</v>
      </c>
      <c r="I16" s="62">
        <v>2545</v>
      </c>
    </row>
    <row r="17" spans="1:9" x14ac:dyDescent="0.25">
      <c r="A17" s="62" t="s">
        <v>345</v>
      </c>
      <c r="B17" s="63">
        <v>43104</v>
      </c>
      <c r="C17" s="62" t="s">
        <v>346</v>
      </c>
      <c r="D17" s="62" t="s">
        <v>304</v>
      </c>
      <c r="E17" s="62" t="s">
        <v>347</v>
      </c>
      <c r="F17" s="62" t="s">
        <v>348</v>
      </c>
      <c r="G17" s="62" t="s">
        <v>297</v>
      </c>
      <c r="H17" s="62">
        <v>2946</v>
      </c>
      <c r="I17" s="62">
        <v>2210</v>
      </c>
    </row>
    <row r="18" spans="1:9" x14ac:dyDescent="0.25">
      <c r="A18" s="62" t="s">
        <v>349</v>
      </c>
      <c r="B18" s="63">
        <v>43104</v>
      </c>
      <c r="C18" s="62" t="s">
        <v>350</v>
      </c>
      <c r="D18" s="62" t="s">
        <v>351</v>
      </c>
      <c r="E18" s="62" t="s">
        <v>352</v>
      </c>
      <c r="F18" s="62" t="s">
        <v>353</v>
      </c>
      <c r="G18" s="62" t="s">
        <v>297</v>
      </c>
      <c r="H18" s="62">
        <v>2989</v>
      </c>
      <c r="I18" s="62">
        <v>2212</v>
      </c>
    </row>
    <row r="19" spans="1:9" x14ac:dyDescent="0.25">
      <c r="A19" s="62" t="s">
        <v>354</v>
      </c>
      <c r="B19" s="63">
        <v>43105</v>
      </c>
      <c r="C19" s="62" t="s">
        <v>355</v>
      </c>
      <c r="D19" s="62" t="s">
        <v>351</v>
      </c>
      <c r="E19" s="62" t="s">
        <v>352</v>
      </c>
      <c r="F19" s="62" t="s">
        <v>353</v>
      </c>
      <c r="G19" s="62" t="s">
        <v>297</v>
      </c>
      <c r="H19" s="62">
        <v>3463</v>
      </c>
      <c r="I19" s="62">
        <v>2770</v>
      </c>
    </row>
    <row r="20" spans="1:9" x14ac:dyDescent="0.25">
      <c r="A20" s="62" t="s">
        <v>356</v>
      </c>
      <c r="B20" s="63">
        <v>43105</v>
      </c>
      <c r="C20" s="62" t="s">
        <v>357</v>
      </c>
      <c r="D20" s="62" t="s">
        <v>331</v>
      </c>
      <c r="E20" s="62" t="s">
        <v>332</v>
      </c>
      <c r="F20" s="62" t="s">
        <v>358</v>
      </c>
      <c r="G20" s="62" t="s">
        <v>213</v>
      </c>
      <c r="H20" s="62">
        <v>2677</v>
      </c>
      <c r="I20" s="62">
        <v>2088</v>
      </c>
    </row>
    <row r="21" spans="1:9" x14ac:dyDescent="0.25">
      <c r="A21" s="62" t="s">
        <v>359</v>
      </c>
      <c r="B21" s="63">
        <v>43107</v>
      </c>
      <c r="C21" s="62" t="s">
        <v>360</v>
      </c>
      <c r="D21" s="62" t="s">
        <v>331</v>
      </c>
      <c r="E21" s="62" t="s">
        <v>332</v>
      </c>
      <c r="F21" s="62" t="s">
        <v>358</v>
      </c>
      <c r="G21" s="62" t="s">
        <v>213</v>
      </c>
      <c r="H21" s="62">
        <v>2966</v>
      </c>
      <c r="I21" s="62">
        <v>1928</v>
      </c>
    </row>
    <row r="22" spans="1:9" x14ac:dyDescent="0.25">
      <c r="A22" s="62" t="s">
        <v>361</v>
      </c>
      <c r="B22" s="63">
        <v>43107</v>
      </c>
      <c r="C22" s="62" t="s">
        <v>362</v>
      </c>
      <c r="D22" s="62" t="s">
        <v>331</v>
      </c>
      <c r="E22" s="62" t="s">
        <v>332</v>
      </c>
      <c r="F22" s="62" t="s">
        <v>358</v>
      </c>
      <c r="G22" s="62" t="s">
        <v>213</v>
      </c>
      <c r="H22" s="62">
        <v>2106</v>
      </c>
      <c r="I22" s="62">
        <v>1516</v>
      </c>
    </row>
    <row r="23" spans="1:9" x14ac:dyDescent="0.25">
      <c r="A23" s="62" t="s">
        <v>293</v>
      </c>
      <c r="B23" s="63">
        <v>43107</v>
      </c>
      <c r="C23" s="62" t="s">
        <v>294</v>
      </c>
      <c r="D23" s="62" t="s">
        <v>295</v>
      </c>
      <c r="E23" s="62" t="s">
        <v>296</v>
      </c>
      <c r="F23" s="62" t="s">
        <v>296</v>
      </c>
      <c r="G23" s="62" t="s">
        <v>297</v>
      </c>
      <c r="H23" s="62">
        <v>3664</v>
      </c>
      <c r="I23" s="62">
        <v>2272</v>
      </c>
    </row>
    <row r="24" spans="1:9" x14ac:dyDescent="0.25">
      <c r="A24" s="62" t="s">
        <v>298</v>
      </c>
      <c r="B24" s="63">
        <v>43108</v>
      </c>
      <c r="C24" s="62" t="s">
        <v>299</v>
      </c>
      <c r="D24" s="62" t="s">
        <v>295</v>
      </c>
      <c r="E24" s="62" t="s">
        <v>296</v>
      </c>
      <c r="F24" s="62" t="s">
        <v>296</v>
      </c>
      <c r="G24" s="62" t="s">
        <v>297</v>
      </c>
      <c r="H24" s="62">
        <v>3069</v>
      </c>
      <c r="I24" s="62">
        <v>2240</v>
      </c>
    </row>
    <row r="25" spans="1:9" x14ac:dyDescent="0.25">
      <c r="A25" s="62" t="s">
        <v>300</v>
      </c>
      <c r="B25" s="63">
        <v>43108</v>
      </c>
      <c r="C25" s="62" t="s">
        <v>301</v>
      </c>
      <c r="D25" s="62" t="s">
        <v>295</v>
      </c>
      <c r="E25" s="62" t="s">
        <v>296</v>
      </c>
      <c r="F25" s="62" t="s">
        <v>296</v>
      </c>
      <c r="G25" s="62" t="s">
        <v>297</v>
      </c>
      <c r="H25" s="62">
        <v>3755</v>
      </c>
      <c r="I25" s="62">
        <v>2516</v>
      </c>
    </row>
    <row r="26" spans="1:9" x14ac:dyDescent="0.25">
      <c r="A26" s="62" t="s">
        <v>302</v>
      </c>
      <c r="B26" s="63">
        <v>43108</v>
      </c>
      <c r="C26" s="62" t="s">
        <v>303</v>
      </c>
      <c r="D26" s="62" t="s">
        <v>304</v>
      </c>
      <c r="E26" s="62" t="s">
        <v>305</v>
      </c>
      <c r="F26" s="62" t="s">
        <v>306</v>
      </c>
      <c r="G26" s="62" t="s">
        <v>297</v>
      </c>
      <c r="H26" s="62">
        <v>3215</v>
      </c>
      <c r="I26" s="62">
        <v>2058</v>
      </c>
    </row>
    <row r="27" spans="1:9" x14ac:dyDescent="0.25">
      <c r="A27" s="62" t="s">
        <v>307</v>
      </c>
      <c r="B27" s="63">
        <v>43108</v>
      </c>
      <c r="C27" s="62" t="s">
        <v>308</v>
      </c>
      <c r="D27" s="62" t="s">
        <v>304</v>
      </c>
      <c r="E27" s="62" t="s">
        <v>305</v>
      </c>
      <c r="F27" s="62" t="s">
        <v>306</v>
      </c>
      <c r="G27" s="62" t="s">
        <v>297</v>
      </c>
      <c r="H27" s="62">
        <v>3685</v>
      </c>
      <c r="I27" s="62">
        <v>2543</v>
      </c>
    </row>
    <row r="28" spans="1:9" x14ac:dyDescent="0.25">
      <c r="A28" s="62" t="s">
        <v>309</v>
      </c>
      <c r="B28" s="63">
        <v>43108</v>
      </c>
      <c r="C28" s="62" t="s">
        <v>310</v>
      </c>
      <c r="D28" s="62" t="s">
        <v>304</v>
      </c>
      <c r="E28" s="62" t="s">
        <v>305</v>
      </c>
      <c r="F28" s="62" t="s">
        <v>306</v>
      </c>
      <c r="G28" s="62" t="s">
        <v>297</v>
      </c>
      <c r="H28" s="62">
        <v>4015</v>
      </c>
      <c r="I28" s="62">
        <v>2730</v>
      </c>
    </row>
    <row r="29" spans="1:9" x14ac:dyDescent="0.25">
      <c r="A29" s="62" t="s">
        <v>311</v>
      </c>
      <c r="B29" s="63">
        <v>43108</v>
      </c>
      <c r="C29" s="62" t="s">
        <v>312</v>
      </c>
      <c r="D29" s="62" t="s">
        <v>304</v>
      </c>
      <c r="E29" s="62" t="s">
        <v>305</v>
      </c>
      <c r="F29" s="62" t="s">
        <v>306</v>
      </c>
      <c r="G29" s="62" t="s">
        <v>297</v>
      </c>
      <c r="H29" s="62">
        <v>2517</v>
      </c>
      <c r="I29" s="62">
        <v>1661</v>
      </c>
    </row>
    <row r="30" spans="1:9" x14ac:dyDescent="0.25">
      <c r="A30" s="62" t="s">
        <v>313</v>
      </c>
      <c r="B30" s="63">
        <v>43112</v>
      </c>
      <c r="C30" s="62" t="s">
        <v>314</v>
      </c>
      <c r="D30" s="62" t="s">
        <v>304</v>
      </c>
      <c r="E30" s="62" t="s">
        <v>305</v>
      </c>
      <c r="F30" s="62" t="s">
        <v>306</v>
      </c>
      <c r="G30" s="62" t="s">
        <v>297</v>
      </c>
      <c r="H30" s="62">
        <v>2598</v>
      </c>
      <c r="I30" s="62">
        <v>1793</v>
      </c>
    </row>
    <row r="31" spans="1:9" x14ac:dyDescent="0.25">
      <c r="A31" s="62" t="s">
        <v>315</v>
      </c>
      <c r="B31" s="63">
        <v>43112</v>
      </c>
      <c r="C31" s="62" t="s">
        <v>316</v>
      </c>
      <c r="D31" s="62" t="s">
        <v>317</v>
      </c>
      <c r="E31" s="62" t="s">
        <v>318</v>
      </c>
      <c r="F31" s="62" t="s">
        <v>319</v>
      </c>
      <c r="G31" s="62" t="s">
        <v>210</v>
      </c>
      <c r="H31" s="62">
        <v>3513</v>
      </c>
      <c r="I31" s="62">
        <v>2740</v>
      </c>
    </row>
    <row r="32" spans="1:9" x14ac:dyDescent="0.25">
      <c r="A32" s="62" t="s">
        <v>320</v>
      </c>
      <c r="B32" s="63">
        <v>43112</v>
      </c>
      <c r="C32" s="62" t="s">
        <v>321</v>
      </c>
      <c r="D32" s="62" t="s">
        <v>322</v>
      </c>
      <c r="E32" s="62" t="s">
        <v>323</v>
      </c>
      <c r="F32" s="62" t="s">
        <v>324</v>
      </c>
      <c r="G32" s="62" t="s">
        <v>213</v>
      </c>
      <c r="H32" s="62">
        <v>2247</v>
      </c>
      <c r="I32" s="62">
        <v>1775</v>
      </c>
    </row>
    <row r="33" spans="1:9" x14ac:dyDescent="0.25">
      <c r="A33" s="62" t="s">
        <v>325</v>
      </c>
      <c r="B33" s="63">
        <v>43113</v>
      </c>
      <c r="C33" s="62" t="s">
        <v>326</v>
      </c>
      <c r="D33" s="62" t="s">
        <v>317</v>
      </c>
      <c r="E33" s="62" t="s">
        <v>327</v>
      </c>
      <c r="F33" s="62" t="s">
        <v>328</v>
      </c>
      <c r="G33" s="62" t="s">
        <v>210</v>
      </c>
      <c r="H33" s="62">
        <v>2878</v>
      </c>
      <c r="I33" s="62">
        <v>1784</v>
      </c>
    </row>
    <row r="34" spans="1:9" x14ac:dyDescent="0.25">
      <c r="A34" s="62" t="s">
        <v>329</v>
      </c>
      <c r="B34" s="63">
        <v>43113</v>
      </c>
      <c r="C34" s="62" t="s">
        <v>330</v>
      </c>
      <c r="D34" s="62" t="s">
        <v>331</v>
      </c>
      <c r="E34" s="62" t="s">
        <v>332</v>
      </c>
      <c r="F34" s="62" t="s">
        <v>333</v>
      </c>
      <c r="G34" s="62" t="s">
        <v>213</v>
      </c>
      <c r="H34" s="62">
        <v>3425</v>
      </c>
      <c r="I34" s="62">
        <v>2706</v>
      </c>
    </row>
    <row r="35" spans="1:9" x14ac:dyDescent="0.25">
      <c r="A35" s="62" t="s">
        <v>334</v>
      </c>
      <c r="B35" s="63">
        <v>43113</v>
      </c>
      <c r="C35" s="62" t="s">
        <v>335</v>
      </c>
      <c r="D35" s="62" t="s">
        <v>331</v>
      </c>
      <c r="E35" s="62" t="s">
        <v>336</v>
      </c>
      <c r="F35" s="62" t="s">
        <v>337</v>
      </c>
      <c r="G35" s="62" t="s">
        <v>213</v>
      </c>
      <c r="H35" s="62">
        <v>2865</v>
      </c>
      <c r="I35" s="62">
        <v>2091</v>
      </c>
    </row>
    <row r="36" spans="1:9" x14ac:dyDescent="0.25">
      <c r="A36" s="62" t="s">
        <v>338</v>
      </c>
      <c r="B36" s="63">
        <v>43114</v>
      </c>
      <c r="C36" s="62" t="s">
        <v>339</v>
      </c>
      <c r="D36" s="62" t="s">
        <v>331</v>
      </c>
      <c r="E36" s="62" t="s">
        <v>336</v>
      </c>
      <c r="F36" s="62" t="s">
        <v>337</v>
      </c>
      <c r="G36" s="62" t="s">
        <v>213</v>
      </c>
      <c r="H36" s="62">
        <v>2393</v>
      </c>
      <c r="I36" s="62">
        <v>1723</v>
      </c>
    </row>
    <row r="37" spans="1:9" x14ac:dyDescent="0.25">
      <c r="A37" s="62" t="s">
        <v>340</v>
      </c>
      <c r="B37" s="63">
        <v>43114</v>
      </c>
      <c r="C37" s="62" t="s">
        <v>341</v>
      </c>
      <c r="D37" s="62" t="s">
        <v>342</v>
      </c>
      <c r="E37" s="62" t="s">
        <v>343</v>
      </c>
      <c r="F37" s="62" t="s">
        <v>344</v>
      </c>
      <c r="G37" s="62" t="s">
        <v>297</v>
      </c>
      <c r="H37" s="62">
        <v>3149</v>
      </c>
      <c r="I37" s="62">
        <v>2299</v>
      </c>
    </row>
    <row r="38" spans="1:9" x14ac:dyDescent="0.25">
      <c r="A38" s="62" t="s">
        <v>345</v>
      </c>
      <c r="B38" s="63">
        <v>43114</v>
      </c>
      <c r="C38" s="62" t="s">
        <v>346</v>
      </c>
      <c r="D38" s="62" t="s">
        <v>304</v>
      </c>
      <c r="E38" s="62" t="s">
        <v>347</v>
      </c>
      <c r="F38" s="62" t="s">
        <v>348</v>
      </c>
      <c r="G38" s="62" t="s">
        <v>297</v>
      </c>
      <c r="H38" s="62">
        <v>3277</v>
      </c>
      <c r="I38" s="62">
        <v>2130</v>
      </c>
    </row>
    <row r="39" spans="1:9" x14ac:dyDescent="0.25">
      <c r="A39" s="62" t="s">
        <v>349</v>
      </c>
      <c r="B39" s="63">
        <v>43114</v>
      </c>
      <c r="C39" s="62" t="s">
        <v>350</v>
      </c>
      <c r="D39" s="62" t="s">
        <v>351</v>
      </c>
      <c r="E39" s="62" t="s">
        <v>352</v>
      </c>
      <c r="F39" s="62" t="s">
        <v>353</v>
      </c>
      <c r="G39" s="62" t="s">
        <v>297</v>
      </c>
      <c r="H39" s="62">
        <v>2713</v>
      </c>
      <c r="I39" s="62">
        <v>1682</v>
      </c>
    </row>
    <row r="40" spans="1:9" x14ac:dyDescent="0.25">
      <c r="A40" s="62" t="s">
        <v>354</v>
      </c>
      <c r="B40" s="63">
        <v>43115</v>
      </c>
      <c r="C40" s="62" t="s">
        <v>355</v>
      </c>
      <c r="D40" s="62" t="s">
        <v>351</v>
      </c>
      <c r="E40" s="62" t="s">
        <v>352</v>
      </c>
      <c r="F40" s="62" t="s">
        <v>353</v>
      </c>
      <c r="G40" s="62" t="s">
        <v>297</v>
      </c>
      <c r="H40" s="62">
        <v>3381</v>
      </c>
      <c r="I40" s="62">
        <v>2231</v>
      </c>
    </row>
    <row r="41" spans="1:9" x14ac:dyDescent="0.25">
      <c r="A41" s="62" t="s">
        <v>356</v>
      </c>
      <c r="B41" s="63">
        <v>43115</v>
      </c>
      <c r="C41" s="62" t="s">
        <v>357</v>
      </c>
      <c r="D41" s="62" t="s">
        <v>331</v>
      </c>
      <c r="E41" s="62" t="s">
        <v>332</v>
      </c>
      <c r="F41" s="62" t="s">
        <v>358</v>
      </c>
      <c r="G41" s="62" t="s">
        <v>213</v>
      </c>
      <c r="H41" s="62">
        <v>2545</v>
      </c>
      <c r="I41" s="62">
        <v>2011</v>
      </c>
    </row>
    <row r="42" spans="1:9" x14ac:dyDescent="0.25">
      <c r="A42" s="62" t="s">
        <v>359</v>
      </c>
      <c r="B42" s="63">
        <v>43115</v>
      </c>
      <c r="C42" s="62" t="s">
        <v>360</v>
      </c>
      <c r="D42" s="62" t="s">
        <v>331</v>
      </c>
      <c r="E42" s="62" t="s">
        <v>332</v>
      </c>
      <c r="F42" s="62" t="s">
        <v>358</v>
      </c>
      <c r="G42" s="62" t="s">
        <v>213</v>
      </c>
      <c r="H42" s="62">
        <v>4473</v>
      </c>
      <c r="I42" s="62">
        <v>2729</v>
      </c>
    </row>
    <row r="43" spans="1:9" x14ac:dyDescent="0.25">
      <c r="A43" s="62" t="s">
        <v>361</v>
      </c>
      <c r="B43" s="63">
        <v>43115</v>
      </c>
      <c r="C43" s="62" t="s">
        <v>362</v>
      </c>
      <c r="D43" s="62" t="s">
        <v>331</v>
      </c>
      <c r="E43" s="62" t="s">
        <v>332</v>
      </c>
      <c r="F43" s="62" t="s">
        <v>358</v>
      </c>
      <c r="G43" s="62" t="s">
        <v>213</v>
      </c>
      <c r="H43" s="62">
        <v>3332</v>
      </c>
      <c r="I43" s="62">
        <v>2132</v>
      </c>
    </row>
    <row r="44" spans="1:9" x14ac:dyDescent="0.25">
      <c r="A44" s="62" t="s">
        <v>293</v>
      </c>
      <c r="B44" s="63">
        <v>43116</v>
      </c>
      <c r="C44" s="62" t="s">
        <v>294</v>
      </c>
      <c r="D44" s="62" t="s">
        <v>295</v>
      </c>
      <c r="E44" s="62" t="s">
        <v>296</v>
      </c>
      <c r="F44" s="62" t="s">
        <v>296</v>
      </c>
      <c r="G44" s="62" t="s">
        <v>297</v>
      </c>
      <c r="H44" s="62">
        <v>2283</v>
      </c>
      <c r="I44" s="62">
        <v>1438</v>
      </c>
    </row>
    <row r="45" spans="1:9" x14ac:dyDescent="0.25">
      <c r="A45" s="62" t="s">
        <v>298</v>
      </c>
      <c r="B45" s="63">
        <v>43116</v>
      </c>
      <c r="C45" s="62" t="s">
        <v>299</v>
      </c>
      <c r="D45" s="62" t="s">
        <v>295</v>
      </c>
      <c r="E45" s="62" t="s">
        <v>296</v>
      </c>
      <c r="F45" s="62" t="s">
        <v>296</v>
      </c>
      <c r="G45" s="62" t="s">
        <v>297</v>
      </c>
      <c r="H45" s="62">
        <v>2696</v>
      </c>
      <c r="I45" s="62">
        <v>1833</v>
      </c>
    </row>
    <row r="46" spans="1:9" x14ac:dyDescent="0.25">
      <c r="A46" s="62" t="s">
        <v>300</v>
      </c>
      <c r="B46" s="63">
        <v>43116</v>
      </c>
      <c r="C46" s="62" t="s">
        <v>301</v>
      </c>
      <c r="D46" s="62" t="s">
        <v>295</v>
      </c>
      <c r="E46" s="62" t="s">
        <v>296</v>
      </c>
      <c r="F46" s="62" t="s">
        <v>296</v>
      </c>
      <c r="G46" s="62" t="s">
        <v>297</v>
      </c>
      <c r="H46" s="62">
        <v>4061</v>
      </c>
      <c r="I46" s="62">
        <v>3127</v>
      </c>
    </row>
    <row r="47" spans="1:9" x14ac:dyDescent="0.25">
      <c r="A47" s="62" t="s">
        <v>302</v>
      </c>
      <c r="B47" s="63">
        <v>43116</v>
      </c>
      <c r="C47" s="62" t="s">
        <v>303</v>
      </c>
      <c r="D47" s="62" t="s">
        <v>304</v>
      </c>
      <c r="E47" s="62" t="s">
        <v>305</v>
      </c>
      <c r="F47" s="62" t="s">
        <v>306</v>
      </c>
      <c r="G47" s="62" t="s">
        <v>297</v>
      </c>
      <c r="H47" s="62">
        <v>2382</v>
      </c>
      <c r="I47" s="62">
        <v>1548</v>
      </c>
    </row>
    <row r="48" spans="1:9" x14ac:dyDescent="0.25">
      <c r="A48" s="62" t="s">
        <v>307</v>
      </c>
      <c r="B48" s="63">
        <v>43116</v>
      </c>
      <c r="C48" s="62" t="s">
        <v>308</v>
      </c>
      <c r="D48" s="62" t="s">
        <v>304</v>
      </c>
      <c r="E48" s="62" t="s">
        <v>305</v>
      </c>
      <c r="F48" s="62" t="s">
        <v>306</v>
      </c>
      <c r="G48" s="62" t="s">
        <v>297</v>
      </c>
      <c r="H48" s="62">
        <v>4336</v>
      </c>
      <c r="I48" s="62">
        <v>2602</v>
      </c>
    </row>
    <row r="49" spans="1:9" x14ac:dyDescent="0.25">
      <c r="A49" s="62" t="s">
        <v>309</v>
      </c>
      <c r="B49" s="63">
        <v>43116</v>
      </c>
      <c r="C49" s="62" t="s">
        <v>310</v>
      </c>
      <c r="D49" s="62" t="s">
        <v>304</v>
      </c>
      <c r="E49" s="62" t="s">
        <v>305</v>
      </c>
      <c r="F49" s="62" t="s">
        <v>306</v>
      </c>
      <c r="G49" s="62" t="s">
        <v>297</v>
      </c>
      <c r="H49" s="62">
        <v>2602</v>
      </c>
      <c r="I49" s="62">
        <v>2004</v>
      </c>
    </row>
    <row r="50" spans="1:9" x14ac:dyDescent="0.25">
      <c r="A50" s="62" t="s">
        <v>311</v>
      </c>
      <c r="B50" s="63">
        <v>43117</v>
      </c>
      <c r="C50" s="62" t="s">
        <v>312</v>
      </c>
      <c r="D50" s="62" t="s">
        <v>304</v>
      </c>
      <c r="E50" s="62" t="s">
        <v>305</v>
      </c>
      <c r="F50" s="62" t="s">
        <v>306</v>
      </c>
      <c r="G50" s="62" t="s">
        <v>297</v>
      </c>
      <c r="H50" s="62">
        <v>3094</v>
      </c>
      <c r="I50" s="62">
        <v>2073</v>
      </c>
    </row>
    <row r="51" spans="1:9" x14ac:dyDescent="0.25">
      <c r="A51" s="62" t="s">
        <v>313</v>
      </c>
      <c r="B51" s="63">
        <v>43117</v>
      </c>
      <c r="C51" s="62" t="s">
        <v>314</v>
      </c>
      <c r="D51" s="62" t="s">
        <v>304</v>
      </c>
      <c r="E51" s="62" t="s">
        <v>305</v>
      </c>
      <c r="F51" s="62" t="s">
        <v>306</v>
      </c>
      <c r="G51" s="62" t="s">
        <v>297</v>
      </c>
      <c r="H51" s="62">
        <v>3510</v>
      </c>
      <c r="I51" s="62">
        <v>2141</v>
      </c>
    </row>
    <row r="52" spans="1:9" x14ac:dyDescent="0.25">
      <c r="A52" s="62" t="s">
        <v>315</v>
      </c>
      <c r="B52" s="63">
        <v>43117</v>
      </c>
      <c r="C52" s="62" t="s">
        <v>316</v>
      </c>
      <c r="D52" s="62" t="s">
        <v>317</v>
      </c>
      <c r="E52" s="62" t="s">
        <v>318</v>
      </c>
      <c r="F52" s="62" t="s">
        <v>319</v>
      </c>
      <c r="G52" s="62" t="s">
        <v>210</v>
      </c>
      <c r="H52" s="62">
        <v>2134</v>
      </c>
      <c r="I52" s="62">
        <v>1536</v>
      </c>
    </row>
    <row r="53" spans="1:9" x14ac:dyDescent="0.25">
      <c r="A53" s="62" t="s">
        <v>320</v>
      </c>
      <c r="B53" s="63">
        <v>43117</v>
      </c>
      <c r="C53" s="62" t="s">
        <v>321</v>
      </c>
      <c r="D53" s="62" t="s">
        <v>322</v>
      </c>
      <c r="E53" s="62" t="s">
        <v>323</v>
      </c>
      <c r="F53" s="62" t="s">
        <v>324</v>
      </c>
      <c r="G53" s="62" t="s">
        <v>213</v>
      </c>
      <c r="H53" s="62">
        <v>2661</v>
      </c>
      <c r="I53" s="62">
        <v>2022</v>
      </c>
    </row>
    <row r="54" spans="1:9" x14ac:dyDescent="0.25">
      <c r="A54" s="62" t="s">
        <v>325</v>
      </c>
      <c r="B54" s="63">
        <v>43117</v>
      </c>
      <c r="C54" s="62" t="s">
        <v>326</v>
      </c>
      <c r="D54" s="62" t="s">
        <v>317</v>
      </c>
      <c r="E54" s="62" t="s">
        <v>327</v>
      </c>
      <c r="F54" s="62" t="s">
        <v>328</v>
      </c>
      <c r="G54" s="62" t="s">
        <v>210</v>
      </c>
      <c r="H54" s="62">
        <v>2901</v>
      </c>
      <c r="I54" s="62">
        <v>1741</v>
      </c>
    </row>
    <row r="55" spans="1:9" x14ac:dyDescent="0.25">
      <c r="A55" s="62" t="s">
        <v>329</v>
      </c>
      <c r="B55" s="63">
        <v>43117</v>
      </c>
      <c r="C55" s="62" t="s">
        <v>330</v>
      </c>
      <c r="D55" s="62" t="s">
        <v>331</v>
      </c>
      <c r="E55" s="62" t="s">
        <v>332</v>
      </c>
      <c r="F55" s="62" t="s">
        <v>333</v>
      </c>
      <c r="G55" s="62" t="s">
        <v>213</v>
      </c>
      <c r="H55" s="62">
        <v>3784</v>
      </c>
      <c r="I55" s="62">
        <v>2384</v>
      </c>
    </row>
    <row r="56" spans="1:9" x14ac:dyDescent="0.25">
      <c r="A56" s="62" t="s">
        <v>334</v>
      </c>
      <c r="B56" s="63">
        <v>43118</v>
      </c>
      <c r="C56" s="62" t="s">
        <v>335</v>
      </c>
      <c r="D56" s="62" t="s">
        <v>331</v>
      </c>
      <c r="E56" s="62" t="s">
        <v>336</v>
      </c>
      <c r="F56" s="62" t="s">
        <v>337</v>
      </c>
      <c r="G56" s="62" t="s">
        <v>213</v>
      </c>
      <c r="H56" s="62">
        <v>3135</v>
      </c>
      <c r="I56" s="62">
        <v>2445</v>
      </c>
    </row>
    <row r="57" spans="1:9" x14ac:dyDescent="0.25">
      <c r="A57" s="62" t="s">
        <v>338</v>
      </c>
      <c r="B57" s="63">
        <v>43118</v>
      </c>
      <c r="C57" s="62" t="s">
        <v>339</v>
      </c>
      <c r="D57" s="62" t="s">
        <v>331</v>
      </c>
      <c r="E57" s="62" t="s">
        <v>336</v>
      </c>
      <c r="F57" s="62" t="s">
        <v>337</v>
      </c>
      <c r="G57" s="62" t="s">
        <v>213</v>
      </c>
      <c r="H57" s="62">
        <v>2802</v>
      </c>
      <c r="I57" s="62">
        <v>1877</v>
      </c>
    </row>
    <row r="58" spans="1:9" x14ac:dyDescent="0.25">
      <c r="A58" s="62" t="s">
        <v>340</v>
      </c>
      <c r="B58" s="63">
        <v>43118</v>
      </c>
      <c r="C58" s="62" t="s">
        <v>341</v>
      </c>
      <c r="D58" s="62" t="s">
        <v>342</v>
      </c>
      <c r="E58" s="62" t="s">
        <v>343</v>
      </c>
      <c r="F58" s="62" t="s">
        <v>344</v>
      </c>
      <c r="G58" s="62" t="s">
        <v>297</v>
      </c>
      <c r="H58" s="62">
        <v>3486</v>
      </c>
      <c r="I58" s="62">
        <v>2789</v>
      </c>
    </row>
    <row r="59" spans="1:9" x14ac:dyDescent="0.25">
      <c r="A59" s="62" t="s">
        <v>345</v>
      </c>
      <c r="B59" s="63">
        <v>43118</v>
      </c>
      <c r="C59" s="62" t="s">
        <v>346</v>
      </c>
      <c r="D59" s="62" t="s">
        <v>304</v>
      </c>
      <c r="E59" s="62" t="s">
        <v>347</v>
      </c>
      <c r="F59" s="62" t="s">
        <v>348</v>
      </c>
      <c r="G59" s="62" t="s">
        <v>297</v>
      </c>
      <c r="H59" s="62">
        <v>3422</v>
      </c>
      <c r="I59" s="62">
        <v>2122</v>
      </c>
    </row>
    <row r="60" spans="1:9" x14ac:dyDescent="0.25">
      <c r="A60" s="62" t="s">
        <v>349</v>
      </c>
      <c r="B60" s="63">
        <v>43118</v>
      </c>
      <c r="C60" s="62" t="s">
        <v>350</v>
      </c>
      <c r="D60" s="62" t="s">
        <v>351</v>
      </c>
      <c r="E60" s="62" t="s">
        <v>352</v>
      </c>
      <c r="F60" s="62" t="s">
        <v>353</v>
      </c>
      <c r="G60" s="62" t="s">
        <v>297</v>
      </c>
      <c r="H60" s="62">
        <v>2842</v>
      </c>
      <c r="I60" s="62">
        <v>2188</v>
      </c>
    </row>
    <row r="61" spans="1:9" x14ac:dyDescent="0.25">
      <c r="A61" s="62" t="s">
        <v>354</v>
      </c>
      <c r="B61" s="63">
        <v>43119</v>
      </c>
      <c r="C61" s="62" t="s">
        <v>355</v>
      </c>
      <c r="D61" s="62" t="s">
        <v>351</v>
      </c>
      <c r="E61" s="62" t="s">
        <v>352</v>
      </c>
      <c r="F61" s="62" t="s">
        <v>353</v>
      </c>
      <c r="G61" s="62" t="s">
        <v>297</v>
      </c>
      <c r="H61" s="62">
        <v>3846</v>
      </c>
      <c r="I61" s="62">
        <v>2500</v>
      </c>
    </row>
    <row r="62" spans="1:9" x14ac:dyDescent="0.25">
      <c r="A62" s="62" t="s">
        <v>356</v>
      </c>
      <c r="B62" s="63">
        <v>43119</v>
      </c>
      <c r="C62" s="62" t="s">
        <v>357</v>
      </c>
      <c r="D62" s="62" t="s">
        <v>331</v>
      </c>
      <c r="E62" s="62" t="s">
        <v>332</v>
      </c>
      <c r="F62" s="62" t="s">
        <v>358</v>
      </c>
      <c r="G62" s="62" t="s">
        <v>213</v>
      </c>
      <c r="H62" s="62">
        <v>3131</v>
      </c>
      <c r="I62" s="62">
        <v>2380</v>
      </c>
    </row>
    <row r="63" spans="1:9" x14ac:dyDescent="0.25">
      <c r="A63" s="62" t="s">
        <v>359</v>
      </c>
      <c r="B63" s="63">
        <v>43120</v>
      </c>
      <c r="C63" s="62" t="s">
        <v>360</v>
      </c>
      <c r="D63" s="62" t="s">
        <v>331</v>
      </c>
      <c r="E63" s="62" t="s">
        <v>332</v>
      </c>
      <c r="F63" s="62" t="s">
        <v>358</v>
      </c>
      <c r="G63" s="62" t="s">
        <v>213</v>
      </c>
      <c r="H63" s="62">
        <v>3825</v>
      </c>
      <c r="I63" s="62">
        <v>2333</v>
      </c>
    </row>
    <row r="64" spans="1:9" x14ac:dyDescent="0.25">
      <c r="A64" s="62" t="s">
        <v>361</v>
      </c>
      <c r="B64" s="63">
        <v>43120</v>
      </c>
      <c r="C64" s="62" t="s">
        <v>362</v>
      </c>
      <c r="D64" s="62" t="s">
        <v>331</v>
      </c>
      <c r="E64" s="62" t="s">
        <v>332</v>
      </c>
      <c r="F64" s="62" t="s">
        <v>358</v>
      </c>
      <c r="G64" s="62" t="s">
        <v>213</v>
      </c>
      <c r="H64" s="62">
        <v>4362</v>
      </c>
      <c r="I64" s="62">
        <v>3446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Project 1</vt:lpstr>
      <vt:lpstr>Sheet1</vt:lpstr>
      <vt:lpstr>Filter &amp; Sorting</vt:lpstr>
      <vt:lpstr>Conditional Formatting</vt:lpstr>
      <vt:lpstr>Insert &amp; Delete Columns or Rows</vt:lpstr>
      <vt:lpstr>Find &amp; Remove Duplicates</vt:lpstr>
      <vt:lpstr>Merge &amp; Centre</vt:lpstr>
      <vt:lpstr>Rounding of Numbers</vt:lpstr>
      <vt:lpstr>Autofill in Excel</vt:lpstr>
      <vt:lpstr>Add or Edit Comment</vt:lpstr>
      <vt:lpstr>Filters</vt:lpstr>
      <vt:lpstr>Insert Table &amp; Slicers</vt:lpstr>
      <vt:lpstr>Add Link and Hyperlink</vt:lpstr>
      <vt:lpstr>Add Drop Down List</vt:lpstr>
      <vt:lpstr>Split Text</vt:lpstr>
      <vt:lpstr>Chart In Excel</vt:lpstr>
      <vt:lpstr>IfandElse</vt:lpstr>
      <vt:lpstr>IfError</vt:lpstr>
      <vt:lpstr>Vlookup</vt:lpstr>
      <vt:lpstr>Pivot Table</vt:lpstr>
      <vt:lpstr>PTable</vt:lpstr>
      <vt:lpstr>Sheet2</vt:lpstr>
      <vt:lpstr>Match</vt:lpstr>
      <vt:lpstr>SumProduct</vt:lpstr>
      <vt:lpstr>Rank</vt:lpstr>
      <vt:lpstr>Days and NetWorkingDays</vt:lpstr>
      <vt:lpstr>Count</vt:lpstr>
      <vt:lpstr>XLookup</vt:lpstr>
      <vt:lpstr>Hlookup</vt:lpstr>
      <vt:lpstr>P_Table_2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Menat</dc:creator>
  <cp:lastModifiedBy>Anand Menat</cp:lastModifiedBy>
  <dcterms:created xsi:type="dcterms:W3CDTF">2024-12-25T04:56:05Z</dcterms:created>
  <dcterms:modified xsi:type="dcterms:W3CDTF">2025-07-09T12:30:30Z</dcterms:modified>
</cp:coreProperties>
</file>